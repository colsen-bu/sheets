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ristopherolsen/Desktop/"/>
    </mc:Choice>
  </mc:AlternateContent>
  <xr:revisionPtr revIDLastSave="0" documentId="13_ncr:1_{F0D91997-7B87-C34E-8049-CDC2757A5457}" xr6:coauthVersionLast="47" xr6:coauthVersionMax="47" xr10:uidLastSave="{00000000-0000-0000-0000-000000000000}"/>
  <bookViews>
    <workbookView xWindow="0" yWindow="760" windowWidth="34560" windowHeight="20140" activeTab="1" xr2:uid="{163F8CF0-2FC2-6A40-8D73-B11FF6A1D711}"/>
  </bookViews>
  <sheets>
    <sheet name="plate_size_selector" sheetId="5" state="hidden" r:id="rId1"/>
    <sheet name="Experiment_Plan" sheetId="1" r:id="rId2"/>
    <sheet name="dose_color_coding_tool" sheetId="7" state="hidden" r:id="rId3"/>
    <sheet name="Dosing_Plans" sheetId="6" r:id="rId4"/>
    <sheet name="Subculture" sheetId="3" r:id="rId5"/>
    <sheet name="General_Data_Analysis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2" i="1" l="1"/>
  <c r="AD22" i="1"/>
  <c r="AC22" i="1"/>
  <c r="AB22" i="1"/>
  <c r="AA22" i="1"/>
  <c r="AA22" i="7" s="1"/>
  <c r="Z22" i="1"/>
  <c r="Y22" i="1"/>
  <c r="Y22" i="7" s="1"/>
  <c r="X22" i="1"/>
  <c r="W22" i="1"/>
  <c r="W22" i="7" s="1"/>
  <c r="V22" i="1"/>
  <c r="U22" i="1"/>
  <c r="T22" i="1"/>
  <c r="T22" i="7" s="1"/>
  <c r="S22" i="1"/>
  <c r="R22" i="1"/>
  <c r="Q22" i="1"/>
  <c r="P22" i="1"/>
  <c r="P22" i="7" s="1"/>
  <c r="O22" i="1"/>
  <c r="N22" i="1"/>
  <c r="M22" i="1"/>
  <c r="L22" i="1"/>
  <c r="K22" i="1"/>
  <c r="J22" i="1"/>
  <c r="I22" i="1"/>
  <c r="I22" i="7" s="1"/>
  <c r="H22" i="1"/>
  <c r="AE21" i="1"/>
  <c r="AE21" i="7" s="1"/>
  <c r="AD21" i="1"/>
  <c r="AD21" i="7" s="1"/>
  <c r="AC21" i="1"/>
  <c r="AC21" i="7" s="1"/>
  <c r="AB21" i="1"/>
  <c r="AB21" i="7" s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N21" i="7" s="1"/>
  <c r="M21" i="1"/>
  <c r="M21" i="7" s="1"/>
  <c r="L21" i="1"/>
  <c r="L21" i="7" s="1"/>
  <c r="K21" i="1"/>
  <c r="K21" i="7" s="1"/>
  <c r="J21" i="1"/>
  <c r="J21" i="7" s="1"/>
  <c r="I21" i="1"/>
  <c r="H21" i="1"/>
  <c r="AE20" i="1"/>
  <c r="AE20" i="7" s="1"/>
  <c r="AD20" i="1"/>
  <c r="AD20" i="7" s="1"/>
  <c r="AC20" i="1"/>
  <c r="AC20" i="7" s="1"/>
  <c r="AB20" i="1"/>
  <c r="AB20" i="7" s="1"/>
  <c r="AA20" i="1"/>
  <c r="AA20" i="7" s="1"/>
  <c r="Z20" i="1"/>
  <c r="Z20" i="7" s="1"/>
  <c r="Y20" i="1"/>
  <c r="Y20" i="7" s="1"/>
  <c r="X20" i="1"/>
  <c r="X20" i="7" s="1"/>
  <c r="W20" i="1"/>
  <c r="W20" i="7" s="1"/>
  <c r="V20" i="1"/>
  <c r="V20" i="7" s="1"/>
  <c r="U20" i="1"/>
  <c r="U20" i="7" s="1"/>
  <c r="T20" i="1"/>
  <c r="T20" i="7" s="1"/>
  <c r="S20" i="1"/>
  <c r="S20" i="7" s="1"/>
  <c r="R20" i="1"/>
  <c r="R20" i="7" s="1"/>
  <c r="Q20" i="1"/>
  <c r="Q20" i="7" s="1"/>
  <c r="P20" i="1"/>
  <c r="P20" i="7" s="1"/>
  <c r="O20" i="1"/>
  <c r="O20" i="7" s="1"/>
  <c r="N20" i="1"/>
  <c r="N20" i="7" s="1"/>
  <c r="M20" i="1"/>
  <c r="M20" i="7" s="1"/>
  <c r="L20" i="1"/>
  <c r="L20" i="7" s="1"/>
  <c r="K20" i="1"/>
  <c r="K20" i="7" s="1"/>
  <c r="J20" i="1"/>
  <c r="J20" i="7" s="1"/>
  <c r="I20" i="1"/>
  <c r="I20" i="7" s="1"/>
  <c r="H20" i="1"/>
  <c r="H20" i="7" s="1"/>
  <c r="AE19" i="1"/>
  <c r="AE19" i="7" s="1"/>
  <c r="AD19" i="1"/>
  <c r="AD19" i="7" s="1"/>
  <c r="AC19" i="1"/>
  <c r="AC19" i="7" s="1"/>
  <c r="AB19" i="1"/>
  <c r="AB19" i="7" s="1"/>
  <c r="AA19" i="1"/>
  <c r="AA19" i="7" s="1"/>
  <c r="Z19" i="1"/>
  <c r="Z19" i="7" s="1"/>
  <c r="Y19" i="1"/>
  <c r="Y19" i="7" s="1"/>
  <c r="X19" i="1"/>
  <c r="X19" i="7" s="1"/>
  <c r="W19" i="1"/>
  <c r="W19" i="7" s="1"/>
  <c r="V19" i="1"/>
  <c r="V19" i="7" s="1"/>
  <c r="U19" i="1"/>
  <c r="U19" i="7" s="1"/>
  <c r="T19" i="1"/>
  <c r="T19" i="7" s="1"/>
  <c r="S19" i="1"/>
  <c r="S19" i="7" s="1"/>
  <c r="R19" i="1"/>
  <c r="R19" i="7" s="1"/>
  <c r="Q19" i="1"/>
  <c r="Q19" i="7" s="1"/>
  <c r="P19" i="1"/>
  <c r="P19" i="7" s="1"/>
  <c r="O19" i="1"/>
  <c r="O19" i="7" s="1"/>
  <c r="N19" i="1"/>
  <c r="N19" i="7" s="1"/>
  <c r="M19" i="1"/>
  <c r="M19" i="7" s="1"/>
  <c r="L19" i="1"/>
  <c r="L19" i="7" s="1"/>
  <c r="K19" i="1"/>
  <c r="K19" i="7" s="1"/>
  <c r="J19" i="1"/>
  <c r="J19" i="7" s="1"/>
  <c r="I19" i="1"/>
  <c r="I19" i="7" s="1"/>
  <c r="H19" i="1"/>
  <c r="AE18" i="1"/>
  <c r="AE18" i="7" s="1"/>
  <c r="AD18" i="1"/>
  <c r="AD18" i="7" s="1"/>
  <c r="AC18" i="1"/>
  <c r="AC18" i="7" s="1"/>
  <c r="AB18" i="1"/>
  <c r="AB18" i="7" s="1"/>
  <c r="AA18" i="1"/>
  <c r="AA18" i="7" s="1"/>
  <c r="Z18" i="1"/>
  <c r="Y18" i="1"/>
  <c r="Y18" i="7" s="1"/>
  <c r="X18" i="1"/>
  <c r="X18" i="7" s="1"/>
  <c r="W18" i="1"/>
  <c r="W18" i="7" s="1"/>
  <c r="V18" i="1"/>
  <c r="V18" i="7" s="1"/>
  <c r="U18" i="1"/>
  <c r="U18" i="7" s="1"/>
  <c r="T18" i="1"/>
  <c r="T18" i="7" s="1"/>
  <c r="S18" i="1"/>
  <c r="S18" i="7" s="1"/>
  <c r="R18" i="1"/>
  <c r="R18" i="7" s="1"/>
  <c r="Q18" i="1"/>
  <c r="Q18" i="7" s="1"/>
  <c r="P18" i="1"/>
  <c r="P18" i="7" s="1"/>
  <c r="O18" i="1"/>
  <c r="O18" i="7" s="1"/>
  <c r="N18" i="1"/>
  <c r="N18" i="7" s="1"/>
  <c r="M18" i="1"/>
  <c r="M18" i="7" s="1"/>
  <c r="L18" i="1"/>
  <c r="L18" i="7" s="1"/>
  <c r="K18" i="1"/>
  <c r="K18" i="7" s="1"/>
  <c r="J18" i="1"/>
  <c r="J18" i="7" s="1"/>
  <c r="I18" i="1"/>
  <c r="I18" i="7" s="1"/>
  <c r="H18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R17" i="7" s="1"/>
  <c r="Q17" i="1"/>
  <c r="P17" i="1"/>
  <c r="O17" i="1"/>
  <c r="N17" i="1"/>
  <c r="M17" i="1"/>
  <c r="L17" i="1"/>
  <c r="K17" i="1"/>
  <c r="J17" i="1"/>
  <c r="I17" i="1"/>
  <c r="H17" i="1"/>
  <c r="H17" i="7" s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P15" i="7" s="1"/>
  <c r="O15" i="1"/>
  <c r="N15" i="1"/>
  <c r="M15" i="1"/>
  <c r="L15" i="1"/>
  <c r="K15" i="1"/>
  <c r="J15" i="1"/>
  <c r="I15" i="1"/>
  <c r="H15" i="1"/>
  <c r="AE14" i="1"/>
  <c r="AD14" i="1"/>
  <c r="AC14" i="1"/>
  <c r="AC14" i="7" s="1"/>
  <c r="AB14" i="1"/>
  <c r="AA14" i="1"/>
  <c r="Z14" i="1"/>
  <c r="Z14" i="7" s="1"/>
  <c r="Y14" i="1"/>
  <c r="Y14" i="7" s="1"/>
  <c r="X14" i="1"/>
  <c r="X14" i="7" s="1"/>
  <c r="W14" i="1"/>
  <c r="W14" i="7" s="1"/>
  <c r="V14" i="1"/>
  <c r="V14" i="7" s="1"/>
  <c r="U14" i="1"/>
  <c r="U14" i="7" s="1"/>
  <c r="T14" i="1"/>
  <c r="T14" i="7" s="1"/>
  <c r="S14" i="1"/>
  <c r="S14" i="7" s="1"/>
  <c r="R14" i="1"/>
  <c r="Q14" i="1"/>
  <c r="Q14" i="7" s="1"/>
  <c r="P14" i="1"/>
  <c r="P14" i="7" s="1"/>
  <c r="O14" i="1"/>
  <c r="O14" i="7" s="1"/>
  <c r="N14" i="1"/>
  <c r="N14" i="7" s="1"/>
  <c r="M14" i="1"/>
  <c r="L14" i="1"/>
  <c r="L14" i="7" s="1"/>
  <c r="K14" i="1"/>
  <c r="J14" i="1"/>
  <c r="J14" i="7" s="1"/>
  <c r="I14" i="1"/>
  <c r="H14" i="1"/>
  <c r="AE13" i="1"/>
  <c r="AE13" i="7" s="1"/>
  <c r="AD13" i="1"/>
  <c r="AD13" i="7" s="1"/>
  <c r="AC13" i="1"/>
  <c r="AC13" i="7" s="1"/>
  <c r="AB13" i="1"/>
  <c r="AB13" i="7" s="1"/>
  <c r="AA13" i="1"/>
  <c r="AA13" i="7" s="1"/>
  <c r="Z13" i="1"/>
  <c r="Z13" i="7" s="1"/>
  <c r="Y13" i="1"/>
  <c r="Y13" i="7" s="1"/>
  <c r="X13" i="1"/>
  <c r="X13" i="7" s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AE12" i="1"/>
  <c r="AD12" i="1"/>
  <c r="AD12" i="7" s="1"/>
  <c r="AC12" i="1"/>
  <c r="AC12" i="7" s="1"/>
  <c r="AB12" i="1"/>
  <c r="AA12" i="1"/>
  <c r="Z12" i="1"/>
  <c r="Z12" i="7" s="1"/>
  <c r="Y12" i="1"/>
  <c r="Y12" i="7" s="1"/>
  <c r="X12" i="1"/>
  <c r="W12" i="1"/>
  <c r="W12" i="7" s="1"/>
  <c r="V12" i="1"/>
  <c r="V12" i="7" s="1"/>
  <c r="U12" i="1"/>
  <c r="T12" i="1"/>
  <c r="S12" i="1"/>
  <c r="S12" i="7" s="1"/>
  <c r="R12" i="1"/>
  <c r="Q12" i="1"/>
  <c r="Q12" i="7" s="1"/>
  <c r="P12" i="1"/>
  <c r="O12" i="1"/>
  <c r="N12" i="1"/>
  <c r="M12" i="1"/>
  <c r="L12" i="1"/>
  <c r="K12" i="1"/>
  <c r="J12" i="1"/>
  <c r="I12" i="1"/>
  <c r="H12" i="1"/>
  <c r="AE11" i="1"/>
  <c r="AD11" i="1"/>
  <c r="AC11" i="1"/>
  <c r="AB11" i="1"/>
  <c r="AB11" i="7" s="1"/>
  <c r="AA11" i="1"/>
  <c r="AA11" i="7" s="1"/>
  <c r="Z11" i="1"/>
  <c r="Z11" i="7" s="1"/>
  <c r="Y11" i="1"/>
  <c r="Y11" i="7" s="1"/>
  <c r="X11" i="1"/>
  <c r="X11" i="7" s="1"/>
  <c r="W11" i="1"/>
  <c r="W11" i="7" s="1"/>
  <c r="V11" i="1"/>
  <c r="V11" i="7" s="1"/>
  <c r="U11" i="1"/>
  <c r="T11" i="1"/>
  <c r="S11" i="1"/>
  <c r="R11" i="1"/>
  <c r="Q11" i="1"/>
  <c r="P11" i="1"/>
  <c r="O11" i="1"/>
  <c r="N11" i="1"/>
  <c r="N11" i="7" s="1"/>
  <c r="M11" i="1"/>
  <c r="M11" i="7" s="1"/>
  <c r="L11" i="1"/>
  <c r="L11" i="7" s="1"/>
  <c r="K11" i="1"/>
  <c r="J11" i="1"/>
  <c r="I11" i="1"/>
  <c r="H11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O10" i="7" s="1"/>
  <c r="N10" i="1"/>
  <c r="M10" i="1"/>
  <c r="L10" i="1"/>
  <c r="L10" i="7" s="1"/>
  <c r="K10" i="1"/>
  <c r="J10" i="1"/>
  <c r="I10" i="1"/>
  <c r="H10" i="1"/>
  <c r="AE9" i="1"/>
  <c r="AD9" i="1"/>
  <c r="AC9" i="1"/>
  <c r="AB9" i="1"/>
  <c r="AA9" i="1"/>
  <c r="AA9" i="7" s="1"/>
  <c r="Z9" i="1"/>
  <c r="Y9" i="1"/>
  <c r="X9" i="1"/>
  <c r="W9" i="1"/>
  <c r="V9" i="1"/>
  <c r="U9" i="1"/>
  <c r="T9" i="1"/>
  <c r="S9" i="1"/>
  <c r="R9" i="1"/>
  <c r="Q9" i="1"/>
  <c r="P9" i="1"/>
  <c r="P9" i="7" s="1"/>
  <c r="O9" i="1"/>
  <c r="N9" i="1"/>
  <c r="M9" i="1"/>
  <c r="L9" i="1"/>
  <c r="K9" i="1"/>
  <c r="J9" i="1"/>
  <c r="I9" i="1"/>
  <c r="H9" i="1"/>
  <c r="AE8" i="1"/>
  <c r="AD8" i="1"/>
  <c r="AC8" i="1"/>
  <c r="AB8" i="1"/>
  <c r="AA8" i="1"/>
  <c r="AA8" i="7" s="1"/>
  <c r="Z8" i="1"/>
  <c r="Z8" i="7" s="1"/>
  <c r="Y8" i="1"/>
  <c r="X8" i="1"/>
  <c r="W8" i="1"/>
  <c r="V8" i="1"/>
  <c r="U8" i="1"/>
  <c r="U8" i="7" s="1"/>
  <c r="T8" i="1"/>
  <c r="S8" i="1"/>
  <c r="R8" i="1"/>
  <c r="R8" i="7" s="1"/>
  <c r="Q8" i="1"/>
  <c r="P8" i="1"/>
  <c r="O8" i="1"/>
  <c r="N8" i="1"/>
  <c r="M8" i="1"/>
  <c r="L8" i="1"/>
  <c r="K8" i="1"/>
  <c r="J8" i="1"/>
  <c r="I8" i="1"/>
  <c r="H8" i="1"/>
  <c r="AE7" i="1"/>
  <c r="AD7" i="1"/>
  <c r="AC7" i="1"/>
  <c r="AB7" i="1"/>
  <c r="AA7" i="1"/>
  <c r="Z7" i="1"/>
  <c r="Y7" i="1"/>
  <c r="Y7" i="7" s="1"/>
  <c r="X7" i="1"/>
  <c r="X7" i="7" s="1"/>
  <c r="W7" i="1"/>
  <c r="V7" i="1"/>
  <c r="U7" i="1"/>
  <c r="T7" i="1"/>
  <c r="S7" i="1"/>
  <c r="R7" i="1"/>
  <c r="Q7" i="1"/>
  <c r="P7" i="1"/>
  <c r="O7" i="1"/>
  <c r="N7" i="1"/>
  <c r="N7" i="7" s="1"/>
  <c r="M7" i="1"/>
  <c r="L7" i="1"/>
  <c r="K7" i="1"/>
  <c r="J7" i="1"/>
  <c r="I7" i="1"/>
  <c r="I7" i="7" s="1"/>
  <c r="H7" i="1"/>
  <c r="H7" i="7" s="1"/>
  <c r="AD15" i="7"/>
  <c r="AB15" i="7"/>
  <c r="Z15" i="7"/>
  <c r="T15" i="7"/>
  <c r="R15" i="7"/>
  <c r="Q15" i="7"/>
  <c r="O15" i="7"/>
  <c r="N15" i="7"/>
  <c r="K15" i="7"/>
  <c r="AE14" i="7"/>
  <c r="AD14" i="7"/>
  <c r="AB14" i="7"/>
  <c r="I14" i="7"/>
  <c r="W13" i="7"/>
  <c r="M13" i="7"/>
  <c r="J13" i="7"/>
  <c r="AA12" i="7"/>
  <c r="K12" i="7"/>
  <c r="AE11" i="7"/>
  <c r="U11" i="7"/>
  <c r="R11" i="7"/>
  <c r="O11" i="7"/>
  <c r="K11" i="7"/>
  <c r="AE10" i="7"/>
  <c r="AA10" i="7"/>
  <c r="Y10" i="7"/>
  <c r="S10" i="7"/>
  <c r="K10" i="7"/>
  <c r="J10" i="7"/>
  <c r="H10" i="7"/>
  <c r="AE9" i="7"/>
  <c r="AD9" i="7"/>
  <c r="AC9" i="7"/>
  <c r="Y9" i="7"/>
  <c r="V9" i="7"/>
  <c r="T9" i="7"/>
  <c r="S9" i="7"/>
  <c r="Q9" i="7"/>
  <c r="N9" i="7"/>
  <c r="L9" i="7"/>
  <c r="J9" i="7"/>
  <c r="I9" i="7"/>
  <c r="H9" i="7"/>
  <c r="AC8" i="7"/>
  <c r="W8" i="7"/>
  <c r="V8" i="7"/>
  <c r="T8" i="7"/>
  <c r="S8" i="7"/>
  <c r="N8" i="7"/>
  <c r="M8" i="7"/>
  <c r="L8" i="7"/>
  <c r="J8" i="7"/>
  <c r="I8" i="7"/>
  <c r="AA7" i="7"/>
  <c r="R7" i="7"/>
  <c r="Q7" i="7"/>
  <c r="R14" i="7"/>
  <c r="M14" i="7"/>
  <c r="R13" i="7"/>
  <c r="P13" i="7"/>
  <c r="AE22" i="7"/>
  <c r="AD22" i="7"/>
  <c r="AC22" i="7"/>
  <c r="AB22" i="7"/>
  <c r="Z22" i="7"/>
  <c r="X22" i="7"/>
  <c r="V22" i="7"/>
  <c r="U22" i="7"/>
  <c r="S22" i="7"/>
  <c r="R22" i="7"/>
  <c r="Q22" i="7"/>
  <c r="O22" i="7"/>
  <c r="N22" i="7"/>
  <c r="M22" i="7"/>
  <c r="L22" i="7"/>
  <c r="K22" i="7"/>
  <c r="J22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I21" i="7"/>
  <c r="Z18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Q17" i="7"/>
  <c r="P17" i="7"/>
  <c r="O17" i="7"/>
  <c r="N17" i="7"/>
  <c r="M17" i="7"/>
  <c r="L17" i="7"/>
  <c r="K17" i="7"/>
  <c r="J17" i="7"/>
  <c r="I17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AE15" i="7"/>
  <c r="AC15" i="7"/>
  <c r="AA15" i="7"/>
  <c r="Y15" i="7"/>
  <c r="X15" i="7"/>
  <c r="W15" i="7"/>
  <c r="V15" i="7"/>
  <c r="U15" i="7"/>
  <c r="S15" i="7"/>
  <c r="M15" i="7"/>
  <c r="L15" i="7"/>
  <c r="J15" i="7"/>
  <c r="I15" i="7"/>
  <c r="AA14" i="7"/>
  <c r="K14" i="7"/>
  <c r="V13" i="7"/>
  <c r="U13" i="7"/>
  <c r="T13" i="7"/>
  <c r="S13" i="7"/>
  <c r="Q13" i="7"/>
  <c r="O13" i="7"/>
  <c r="N13" i="7"/>
  <c r="L13" i="7"/>
  <c r="K13" i="7"/>
  <c r="I13" i="7"/>
  <c r="AE12" i="7"/>
  <c r="AB12" i="7"/>
  <c r="X12" i="7"/>
  <c r="U12" i="7"/>
  <c r="T12" i="7"/>
  <c r="R12" i="7"/>
  <c r="P12" i="7"/>
  <c r="O12" i="7"/>
  <c r="N12" i="7"/>
  <c r="M12" i="7"/>
  <c r="L12" i="7"/>
  <c r="J12" i="7"/>
  <c r="I12" i="7"/>
  <c r="AD11" i="7"/>
  <c r="AC11" i="7"/>
  <c r="T11" i="7"/>
  <c r="S11" i="7"/>
  <c r="Q11" i="7"/>
  <c r="P11" i="7"/>
  <c r="J11" i="7"/>
  <c r="I11" i="7"/>
  <c r="AD10" i="7"/>
  <c r="AC10" i="7"/>
  <c r="AB10" i="7"/>
  <c r="Z10" i="7"/>
  <c r="X10" i="7"/>
  <c r="W10" i="7"/>
  <c r="V10" i="7"/>
  <c r="U10" i="7"/>
  <c r="T10" i="7"/>
  <c r="R10" i="7"/>
  <c r="Q10" i="7"/>
  <c r="P10" i="7"/>
  <c r="N10" i="7"/>
  <c r="M10" i="7"/>
  <c r="I10" i="7"/>
  <c r="AB9" i="7"/>
  <c r="Z9" i="7"/>
  <c r="X9" i="7"/>
  <c r="W9" i="7"/>
  <c r="U9" i="7"/>
  <c r="R9" i="7"/>
  <c r="O9" i="7"/>
  <c r="M9" i="7"/>
  <c r="K9" i="7"/>
  <c r="AE8" i="7"/>
  <c r="AD8" i="7"/>
  <c r="AB8" i="7"/>
  <c r="Y8" i="7"/>
  <c r="X8" i="7"/>
  <c r="Q8" i="7"/>
  <c r="P8" i="7"/>
  <c r="O8" i="7"/>
  <c r="K8" i="7"/>
  <c r="AE7" i="7"/>
  <c r="AD7" i="7"/>
  <c r="AC7" i="7"/>
  <c r="AB7" i="7"/>
  <c r="Z7" i="7"/>
  <c r="W7" i="7"/>
  <c r="V7" i="7"/>
  <c r="U7" i="7"/>
  <c r="T7" i="7"/>
  <c r="S7" i="7"/>
  <c r="P7" i="7"/>
  <c r="O7" i="7"/>
  <c r="M7" i="7"/>
  <c r="L7" i="7"/>
  <c r="K7" i="7"/>
  <c r="J7" i="7"/>
  <c r="H22" i="7"/>
  <c r="H21" i="7"/>
  <c r="H19" i="7"/>
  <c r="H18" i="7"/>
  <c r="H16" i="7"/>
  <c r="H15" i="7"/>
  <c r="H14" i="7"/>
  <c r="H13" i="7"/>
  <c r="H12" i="7"/>
  <c r="H11" i="7"/>
  <c r="H8" i="7"/>
  <c r="J7" i="3"/>
  <c r="H7" i="3"/>
  <c r="F9" i="3"/>
  <c r="F8" i="3"/>
  <c r="F7" i="3"/>
  <c r="E8" i="3"/>
  <c r="D8" i="3"/>
</calcChain>
</file>

<file path=xl/sharedStrings.xml><?xml version="1.0" encoding="utf-8"?>
<sst xmlns="http://schemas.openxmlformats.org/spreadsheetml/2006/main" count="472" uniqueCount="416">
  <si>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</si>
  <si>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</si>
  <si>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</si>
  <si>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</si>
  <si>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</si>
  <si>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</si>
  <si>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</si>
  <si>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</si>
  <si>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</si>
  <si>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</si>
  <si>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</si>
  <si>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</si>
  <si>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</si>
  <si>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</si>
  <si>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</si>
  <si>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</si>
  <si>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Plate Template Selector</t>
  </si>
  <si>
    <t>Well</t>
  </si>
  <si>
    <t>Cell Type</t>
  </si>
  <si>
    <t>Compound</t>
  </si>
  <si>
    <t>Concentration</t>
  </si>
  <si>
    <t>Concentration Units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</si>
  <si>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</si>
  <si>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</si>
  <si>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</si>
  <si>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</si>
  <si>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</si>
  <si>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</si>
  <si>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</si>
  <si>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</si>
  <si>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</si>
  <si>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</si>
  <si>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</si>
  <si>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</si>
  <si>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</si>
  <si>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</si>
  <si>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</si>
  <si>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</si>
  <si>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</si>
  <si>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</si>
  <si>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</si>
  <si>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</si>
  <si>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</si>
  <si>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</si>
  <si>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</si>
  <si>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</si>
  <si>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</si>
  <si>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</si>
  <si>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</si>
  <si>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</si>
  <si>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</si>
  <si>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</si>
  <si>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</si>
  <si>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</si>
  <si>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</si>
  <si>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</si>
  <si>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</si>
  <si>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</si>
  <si>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</si>
  <si>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</si>
  <si>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</si>
  <si>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</si>
  <si>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</si>
  <si>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</si>
  <si>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</si>
  <si>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</si>
  <si>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</si>
  <si>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</si>
  <si>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</si>
  <si>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</si>
  <si>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</si>
  <si>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</si>
  <si>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</si>
  <si>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</si>
  <si>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</si>
  <si>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</si>
  <si>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</si>
  <si>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</si>
  <si>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</si>
  <si>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</si>
  <si>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</si>
  <si>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</si>
  <si>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</si>
  <si>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</si>
  <si>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</si>
  <si>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</si>
  <si>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</si>
  <si>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</si>
  <si>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</si>
  <si>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</si>
  <si>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</si>
  <si>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</si>
  <si>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</si>
  <si>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</si>
  <si>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</si>
  <si>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</si>
  <si>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</si>
  <si>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</si>
  <si>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</si>
  <si>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</si>
  <si>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</si>
  <si>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</si>
  <si>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</si>
  <si>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</si>
  <si>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</si>
  <si>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</si>
  <si>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</si>
  <si>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</si>
  <si>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</si>
  <si>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</si>
  <si>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</si>
  <si>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</si>
  <si>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</si>
  <si>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</si>
  <si>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</si>
  <si>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</si>
  <si>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</si>
  <si>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</si>
  <si>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</si>
  <si>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</si>
  <si>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</si>
  <si>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</si>
  <si>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</si>
  <si>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</si>
  <si>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</si>
  <si>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</si>
  <si>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</si>
  <si>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</si>
  <si>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</si>
  <si>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</si>
  <si>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</si>
  <si>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</si>
  <si>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</si>
  <si>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</si>
  <si>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</si>
  <si>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</si>
  <si>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</si>
  <si>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</si>
  <si>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</si>
  <si>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</si>
  <si>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</si>
  <si>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</si>
  <si>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</si>
  <si>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</si>
  <si>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</si>
  <si>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</si>
  <si>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</si>
  <si>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</si>
  <si>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</si>
  <si>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</si>
  <si>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</si>
  <si>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</si>
  <si>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</si>
  <si>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</si>
  <si>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</si>
  <si>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</si>
  <si>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</si>
  <si>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</si>
  <si>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</si>
  <si>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</si>
  <si>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</si>
  <si>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</si>
  <si>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</si>
  <si>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</si>
  <si>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</si>
  <si>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</si>
  <si>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</si>
  <si>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</si>
  <si>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</si>
  <si>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</si>
  <si>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</si>
  <si>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</si>
  <si>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</si>
  <si>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</si>
  <si>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</si>
  <si>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</si>
  <si>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</si>
  <si>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</si>
  <si>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</si>
  <si>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</si>
  <si>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</si>
  <si>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</si>
  <si>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</si>
  <si>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</si>
  <si>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</si>
  <si>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</si>
  <si>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</si>
  <si>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</si>
  <si>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</si>
  <si>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</si>
  <si>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</si>
  <si>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</si>
  <si>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</si>
  <si>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</si>
  <si>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</si>
  <si>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</si>
  <si>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</si>
  <si>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</si>
  <si>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</si>
  <si>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</si>
  <si>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</si>
  <si>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</si>
  <si>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</si>
  <si>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</si>
  <si>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</si>
  <si>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</si>
  <si>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</si>
  <si>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</si>
  <si>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</si>
  <si>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</si>
  <si>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</si>
  <si>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</si>
  <si>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</si>
  <si>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</si>
  <si>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</si>
  <si>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</si>
  <si>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</si>
  <si>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</si>
  <si>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</si>
  <si>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</si>
  <si>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</si>
  <si>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</si>
  <si>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</si>
  <si>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</si>
  <si>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</si>
  <si>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</si>
  <si>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</si>
  <si>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</si>
  <si>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</si>
  <si>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</si>
  <si>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</si>
  <si>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</si>
  <si>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</si>
  <si>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</si>
  <si>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</si>
  <si>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</si>
  <si>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</si>
  <si>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</si>
  <si>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</si>
  <si>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</si>
  <si>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</si>
  <si>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</si>
  <si>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</si>
  <si>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</si>
  <si>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</si>
  <si>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</si>
  <si>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</si>
  <si>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</si>
  <si>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</si>
  <si>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</si>
  <si>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</si>
  <si>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</si>
  <si>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</si>
  <si>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</si>
  <si>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</si>
  <si>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</si>
  <si>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</si>
  <si>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</si>
  <si>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</si>
  <si>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</si>
  <si>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</si>
  <si>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</si>
  <si>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</si>
  <si>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</si>
  <si>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</si>
  <si>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</si>
  <si>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</si>
  <si>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</si>
  <si>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</si>
  <si>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</si>
  <si>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</si>
  <si>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</si>
  <si>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</si>
  <si>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</si>
  <si>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</si>
  <si>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</si>
  <si>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</si>
  <si>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</si>
  <si>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</si>
  <si>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</si>
  <si>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</si>
  <si>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</si>
  <si>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</si>
  <si>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</si>
  <si>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</si>
  <si>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</si>
  <si>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</si>
  <si>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</si>
  <si>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</si>
  <si>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</si>
  <si>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</si>
  <si>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</si>
  <si>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</si>
  <si>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</si>
  <si>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</si>
  <si>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</si>
  <si>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</si>
  <si>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</si>
  <si>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</si>
  <si>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</si>
  <si>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</si>
  <si>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</si>
  <si>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</si>
  <si>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</si>
  <si>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</si>
  <si>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</si>
  <si>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</si>
  <si>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</si>
  <si>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</si>
  <si>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</si>
  <si>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</si>
  <si>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</si>
  <si>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</si>
  <si>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</si>
  <si>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</si>
  <si>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</si>
  <si>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</si>
  <si>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</si>
  <si>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</si>
  <si>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</si>
  <si>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</si>
  <si>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</si>
  <si>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</si>
  <si>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</si>
  <si>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</si>
  <si>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</si>
  <si>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</si>
  <si>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</si>
  <si>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</si>
  <si>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</si>
  <si>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</si>
  <si>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</si>
  <si>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</si>
  <si>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</si>
  <si>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</si>
  <si>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</si>
  <si>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</si>
  <si>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</si>
  <si>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</si>
  <si>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</si>
  <si>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</si>
  <si>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</si>
  <si>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</si>
  <si>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</si>
  <si>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</si>
  <si>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</si>
  <si>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</si>
  <si>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</si>
  <si>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</si>
  <si>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</si>
  <si>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</si>
  <si>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</si>
  <si>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</si>
  <si>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</si>
  <si>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</si>
  <si>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</si>
  <si>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</si>
  <si>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</si>
  <si>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</si>
  <si>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</si>
  <si>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</si>
  <si>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</si>
  <si>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</si>
  <si>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</si>
  <si>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</si>
  <si>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</si>
  <si>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</si>
  <si>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</si>
  <si>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</si>
  <si>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</si>
  <si>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</si>
  <si>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</si>
  <si>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</si>
  <si>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</si>
  <si>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</si>
  <si>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</si>
  <si>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</si>
  <si>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</si>
  <si>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</si>
  <si>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</si>
  <si>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</si>
  <si>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</si>
  <si>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</si>
  <si>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</si>
  <si>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</si>
  <si>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</si>
  <si>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</si>
  <si>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</si>
  <si>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</si>
  <si>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</si>
  <si>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</si>
  <si>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</si>
  <si>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</si>
  <si>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</si>
  <si>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</si>
  <si>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</si>
  <si>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</si>
  <si>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</si>
  <si>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</si>
  <si>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</si>
  <si>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</si>
  <si>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</si>
  <si>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</si>
  <si>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</si>
  <si>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</si>
  <si>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</si>
  <si>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PASTE BELOW HERE ON THE B5 CELL</t>
  </si>
  <si>
    <t>Live Cell Count</t>
  </si>
  <si>
    <t>Dead Cell Count</t>
  </si>
  <si>
    <t>Total Cell Count</t>
  </si>
  <si>
    <t>mL</t>
  </si>
  <si>
    <t>Date</t>
  </si>
  <si>
    <t>Time</t>
  </si>
  <si>
    <t>Total Live Cells</t>
  </si>
  <si>
    <t>Desired cells/mL</t>
  </si>
  <si>
    <t>Volume for Resuspension mL considering current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</si>
</sst>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2"/>
      <color theme="7"/>
      <name val="Aptos Narrow"/>
      <scheme val="minor"/>
    </font>
    <font>
      <sz val="12"/>
      <color rgb="FF000000"/>
      <name val="Aptos Narrow"/>
    </font>
    <font>
      <sz val="14.05"/>
      <color rgb="FF000000"/>
      <name val="Aptos Narrow"/>
    </font>
    <font>
      <b/>
      <sz val="12"/>
      <color theme="1"/>
      <name val="Aptos Narrow"/>
      <family val="2"/>
      <scheme val="minor"/>
    </font>
    <font>
      <b/>
      <sz val="12"/>
      <color theme="0"/>
      <name val="Aptos Narrow (Body)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0" xfId="0" applyFill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4" borderId="0" xfId="0" applyFill="1" applyAlignment="1">
      <alignment horizontal="center"/>
    </xf>
    <xf numFmtId="11" fontId="0" fillId="0" borderId="3" xfId="0" applyNumberFormat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9" xfId="0" applyNumberFormat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11" fontId="0" fillId="0" borderId="0" xfId="0" applyNumberFormat="1"/>
    <xf numFmtId="0" fontId="5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276335</xdr:colOff>
      <xdr:row>43</xdr:row>
      <xdr:rowOff>177799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95B24CF-BD12-AEDB-A7B7-FEE8005FB0A2}"/>
            </a:ext>
          </a:extLst>
        </xdr:cNvPr>
        <xdr:cNvSpPr txBox="1"/>
      </xdr:nvSpPr>
      <xdr:spPr>
        <a:xfrm>
          <a:off x="8859783" y="3735989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 kern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25400</xdr:rowOff>
        </xdr:from>
        <xdr:to>
          <xdr:col>4</xdr:col>
          <xdr:colOff>368300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Select Plate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13</xdr:row>
          <xdr:rowOff>50800</xdr:rowOff>
        </xdr:from>
        <xdr:to>
          <xdr:col>4</xdr:col>
          <xdr:colOff>698500</xdr:colOff>
          <xdr:row>15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Branch to Experiment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12700</xdr:rowOff>
        </xdr:from>
        <xdr:to>
          <xdr:col>4</xdr:col>
          <xdr:colOff>736600</xdr:colOff>
          <xdr:row>11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5" b="0" i="0" u="none" strike="noStrike" baseline="0">
                  <a:solidFill>
                    <a:srgbClr val="000000"/>
                  </a:solidFill>
                  <a:latin typeface="Aptos Narrow" charset="0"/>
                </a:rPr>
                <a:t>Apply Current Dosing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18F1C-7AEA-9842-8FF0-DB0BF687ED3B}">
  <sheetPr codeName="Sheet1"/>
  <dimension ref="A1:BF121"/>
  <sheetViews>
    <sheetView showGridLines="0" zoomScale="66" workbookViewId="0">
      <selection activeCell="N49" sqref="N49"/>
    </sheetView>
  </sheetViews>
  <sheetFormatPr baseColWidth="10" defaultRowHeight="16" x14ac:dyDescent="0.2"/>
  <cols>
    <col min="1" max="1" width="4.83203125" style="1" customWidth="1"/>
  </cols>
  <sheetData>
    <row r="1" spans="2:31" s="1" customFormat="1" x14ac:dyDescent="0.2"/>
    <row r="2" spans="2:31" x14ac:dyDescent="0.2">
      <c r="B2" s="9"/>
      <c r="AE2">
        <v>6</v>
      </c>
    </row>
    <row r="3" spans="2:31" x14ac:dyDescent="0.2">
      <c r="AE3">
        <v>12</v>
      </c>
    </row>
    <row r="4" spans="2:31" x14ac:dyDescent="0.2">
      <c r="B4" s="9"/>
      <c r="AE4">
        <v>24</v>
      </c>
    </row>
    <row r="5" spans="2:31" ht="17" thickBot="1" x14ac:dyDescent="0.25">
      <c r="C5" s="2"/>
      <c r="D5" s="2">
        <v>1</v>
      </c>
      <c r="E5" s="2">
        <v>2</v>
      </c>
      <c r="F5" s="2">
        <v>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E5">
        <v>48</v>
      </c>
    </row>
    <row r="6" spans="2:31" x14ac:dyDescent="0.2">
      <c r="C6" s="2" t="s">
        <v>0</v>
      </c>
      <c r="D6" s="3"/>
      <c r="E6" s="4"/>
      <c r="F6" s="5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E6">
        <v>96</v>
      </c>
    </row>
    <row r="7" spans="2:31" ht="17" thickBot="1" x14ac:dyDescent="0.25">
      <c r="C7" s="2" t="s">
        <v>1</v>
      </c>
      <c r="D7" s="6"/>
      <c r="E7" s="7"/>
      <c r="F7" s="8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E7">
        <v>384</v>
      </c>
    </row>
    <row r="8" spans="2:31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2:31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2:31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2:31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2:31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2:31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2:31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2:31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2:31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2:27" x14ac:dyDescent="0.2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2:27" x14ac:dyDescent="0.2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2:27" x14ac:dyDescent="0.2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2:27" x14ac:dyDescent="0.2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2:27" x14ac:dyDescent="0.2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2:27" x14ac:dyDescent="0.2">
      <c r="B22" s="9"/>
    </row>
    <row r="24" spans="2:27" x14ac:dyDescent="0.2">
      <c r="B24" s="9"/>
    </row>
    <row r="25" spans="2:27" ht="17" thickBot="1" x14ac:dyDescent="0.25">
      <c r="C25" s="2"/>
      <c r="D25" s="2">
        <v>1</v>
      </c>
      <c r="E25" s="2">
        <v>2</v>
      </c>
      <c r="F25" s="2">
        <v>3</v>
      </c>
      <c r="G25" s="2">
        <v>4</v>
      </c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2:27" x14ac:dyDescent="0.2">
      <c r="C26" s="2" t="s">
        <v>0</v>
      </c>
      <c r="D26" s="3"/>
      <c r="E26" s="4"/>
      <c r="F26" s="4"/>
      <c r="G26" s="5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2:27" x14ac:dyDescent="0.2">
      <c r="C27" s="2" t="s">
        <v>1</v>
      </c>
      <c r="D27" s="10"/>
      <c r="E27" s="2"/>
      <c r="F27" s="2"/>
      <c r="G27" s="11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2:27" ht="17" thickBot="1" x14ac:dyDescent="0.25">
      <c r="C28" s="2" t="s">
        <v>2</v>
      </c>
      <c r="D28" s="6"/>
      <c r="E28" s="7"/>
      <c r="F28" s="7"/>
      <c r="G28" s="8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2:27" x14ac:dyDescent="0.2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2:27" x14ac:dyDescent="0.2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2:27" x14ac:dyDescent="0.2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2:27" x14ac:dyDescent="0.2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2:58" x14ac:dyDescent="0.2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2:58" x14ac:dyDescent="0.2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58" x14ac:dyDescent="0.2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2:58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2:58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2:58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2:58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2:58" x14ac:dyDescent="0.2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2:58" x14ac:dyDescent="0.2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2:58" x14ac:dyDescent="0.2">
      <c r="B42" s="9"/>
    </row>
    <row r="44" spans="2:58" x14ac:dyDescent="0.2">
      <c r="B44" s="9"/>
    </row>
    <row r="45" spans="2:58" ht="17" thickBot="1" x14ac:dyDescent="0.25">
      <c r="C45" s="2"/>
      <c r="D45" s="2">
        <v>1</v>
      </c>
      <c r="E45" s="2">
        <v>2</v>
      </c>
      <c r="F45" s="2">
        <v>3</v>
      </c>
      <c r="G45" s="2">
        <v>4</v>
      </c>
      <c r="H45" s="2">
        <v>5</v>
      </c>
      <c r="I45" s="2">
        <v>6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2:58" x14ac:dyDescent="0.2">
      <c r="C46" s="2" t="s">
        <v>0</v>
      </c>
      <c r="D46" s="3"/>
      <c r="E46" s="4"/>
      <c r="F46" s="4"/>
      <c r="G46" s="4"/>
      <c r="H46" s="4"/>
      <c r="I46" s="5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2:58" x14ac:dyDescent="0.2">
      <c r="C47" s="2" t="s">
        <v>1</v>
      </c>
      <c r="D47" s="10"/>
      <c r="E47" s="2"/>
      <c r="F47" s="2"/>
      <c r="G47" s="2"/>
      <c r="H47" s="2"/>
      <c r="I47" s="11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2:58" x14ac:dyDescent="0.2">
      <c r="C48" s="2" t="s">
        <v>2</v>
      </c>
      <c r="D48" s="10"/>
      <c r="E48" s="2"/>
      <c r="F48" s="2"/>
      <c r="G48" s="2"/>
      <c r="H48" s="2"/>
      <c r="I48" s="11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2:58" ht="17" thickBot="1" x14ac:dyDescent="0.25">
      <c r="C49" s="2" t="s">
        <v>3</v>
      </c>
      <c r="D49" s="6"/>
      <c r="E49" s="7"/>
      <c r="F49" s="7"/>
      <c r="G49" s="7"/>
      <c r="H49" s="7"/>
      <c r="I49" s="8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2:58" x14ac:dyDescent="0.2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</row>
    <row r="51" spans="2:58" x14ac:dyDescent="0.2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</row>
    <row r="52" spans="2:58" x14ac:dyDescent="0.2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2:58" x14ac:dyDescent="0.2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2:58" x14ac:dyDescent="0.2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2:58" x14ac:dyDescent="0.2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2:58" x14ac:dyDescent="0.2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2:58" x14ac:dyDescent="0.2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2:58" x14ac:dyDescent="0.2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</row>
    <row r="59" spans="2:58" x14ac:dyDescent="0.2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</row>
    <row r="60" spans="2:58" x14ac:dyDescent="0.2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2:58" x14ac:dyDescent="0.2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2:58" x14ac:dyDescent="0.2">
      <c r="B62" s="9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2:58" x14ac:dyDescent="0.2"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2:58" x14ac:dyDescent="0.2">
      <c r="B64" s="9"/>
    </row>
    <row r="65" spans="3:27" ht="17" thickBot="1" x14ac:dyDescent="0.25">
      <c r="C65" s="2"/>
      <c r="D65" s="2">
        <v>1</v>
      </c>
      <c r="E65" s="2">
        <v>2</v>
      </c>
      <c r="F65" s="2">
        <v>3</v>
      </c>
      <c r="G65" s="2">
        <v>4</v>
      </c>
      <c r="H65" s="2">
        <v>5</v>
      </c>
      <c r="I65" s="2">
        <v>6</v>
      </c>
      <c r="J65" s="2">
        <v>7</v>
      </c>
      <c r="K65" s="2">
        <v>8</v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3:27" x14ac:dyDescent="0.2">
      <c r="C66" s="2" t="s">
        <v>0</v>
      </c>
      <c r="D66" s="3"/>
      <c r="E66" s="4"/>
      <c r="F66" s="4"/>
      <c r="G66" s="4"/>
      <c r="H66" s="4"/>
      <c r="I66" s="4"/>
      <c r="J66" s="4"/>
      <c r="K66" s="5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3:27" x14ac:dyDescent="0.2">
      <c r="C67" s="2" t="s">
        <v>1</v>
      </c>
      <c r="D67" s="10"/>
      <c r="E67" s="2"/>
      <c r="F67" s="2"/>
      <c r="G67" s="2"/>
      <c r="H67" s="2"/>
      <c r="I67" s="2"/>
      <c r="J67" s="2"/>
      <c r="K67" s="11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3:27" x14ac:dyDescent="0.2">
      <c r="C68" s="2" t="s">
        <v>2</v>
      </c>
      <c r="D68" s="10"/>
      <c r="E68" s="2"/>
      <c r="F68" s="2"/>
      <c r="G68" s="2"/>
      <c r="H68" s="2"/>
      <c r="I68" s="2"/>
      <c r="J68" s="2"/>
      <c r="K68" s="11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3:27" x14ac:dyDescent="0.2">
      <c r="C69" s="2" t="s">
        <v>3</v>
      </c>
      <c r="D69" s="10"/>
      <c r="E69" s="2"/>
      <c r="F69" s="2"/>
      <c r="G69" s="2"/>
      <c r="H69" s="2"/>
      <c r="I69" s="2"/>
      <c r="J69" s="2"/>
      <c r="K69" s="11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3:27" x14ac:dyDescent="0.2">
      <c r="C70" s="2" t="s">
        <v>4</v>
      </c>
      <c r="D70" s="10"/>
      <c r="E70" s="2"/>
      <c r="F70" s="2"/>
      <c r="G70" s="2"/>
      <c r="H70" s="2"/>
      <c r="I70" s="2"/>
      <c r="J70" s="2"/>
      <c r="K70" s="11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3:27" ht="17" thickBot="1" x14ac:dyDescent="0.25">
      <c r="C71" s="2" t="s">
        <v>5</v>
      </c>
      <c r="D71" s="6"/>
      <c r="E71" s="7"/>
      <c r="F71" s="7"/>
      <c r="G71" s="7"/>
      <c r="H71" s="7"/>
      <c r="I71" s="7"/>
      <c r="J71" s="7"/>
      <c r="K71" s="8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3:27" x14ac:dyDescent="0.2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3:27" x14ac:dyDescent="0.2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3:27" x14ac:dyDescent="0.2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3:27" x14ac:dyDescent="0.2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3:27" x14ac:dyDescent="0.2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3:27" x14ac:dyDescent="0.2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3:27" x14ac:dyDescent="0.2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3:27" x14ac:dyDescent="0.2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3:27" x14ac:dyDescent="0.2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2:27" x14ac:dyDescent="0.2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2:27" x14ac:dyDescent="0.2">
      <c r="B82" s="9"/>
    </row>
    <row r="84" spans="2:27" x14ac:dyDescent="0.2">
      <c r="B84" s="9"/>
    </row>
    <row r="85" spans="2:27" ht="17" thickBot="1" x14ac:dyDescent="0.25">
      <c r="C85" s="2"/>
      <c r="D85" s="2">
        <v>1</v>
      </c>
      <c r="E85" s="2">
        <v>2</v>
      </c>
      <c r="F85" s="2">
        <v>3</v>
      </c>
      <c r="G85" s="2">
        <v>4</v>
      </c>
      <c r="H85" s="2">
        <v>5</v>
      </c>
      <c r="I85" s="2">
        <v>6</v>
      </c>
      <c r="J85" s="2">
        <v>7</v>
      </c>
      <c r="K85" s="2">
        <v>8</v>
      </c>
      <c r="L85" s="2">
        <v>9</v>
      </c>
      <c r="M85" s="2">
        <v>10</v>
      </c>
      <c r="N85" s="2">
        <v>11</v>
      </c>
      <c r="O85" s="2">
        <v>12</v>
      </c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2:27" x14ac:dyDescent="0.2">
      <c r="C86" s="2" t="s">
        <v>0</v>
      </c>
      <c r="D86" s="3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2:27" x14ac:dyDescent="0.2">
      <c r="C87" s="2" t="s">
        <v>1</v>
      </c>
      <c r="D87" s="10"/>
      <c r="E87" s="2"/>
      <c r="F87" s="2"/>
      <c r="G87" s="2"/>
      <c r="H87" s="2"/>
      <c r="I87" s="2"/>
      <c r="J87" s="2"/>
      <c r="K87" s="2"/>
      <c r="L87" s="2"/>
      <c r="M87" s="2"/>
      <c r="N87" s="2"/>
      <c r="O87" s="11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2:27" x14ac:dyDescent="0.2">
      <c r="C88" s="2" t="s">
        <v>2</v>
      </c>
      <c r="D88" s="10"/>
      <c r="E88" s="2"/>
      <c r="F88" s="2"/>
      <c r="G88" s="2"/>
      <c r="H88" s="2"/>
      <c r="I88" s="2"/>
      <c r="J88" s="2"/>
      <c r="K88" s="2"/>
      <c r="L88" s="2"/>
      <c r="M88" s="2"/>
      <c r="N88" s="2"/>
      <c r="O88" s="11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2:27" x14ac:dyDescent="0.2">
      <c r="C89" s="2" t="s">
        <v>3</v>
      </c>
      <c r="D89" s="10"/>
      <c r="E89" s="2"/>
      <c r="F89" s="2"/>
      <c r="G89" s="2"/>
      <c r="H89" s="2"/>
      <c r="I89" s="2"/>
      <c r="J89" s="2"/>
      <c r="K89" s="2"/>
      <c r="L89" s="2"/>
      <c r="M89" s="2"/>
      <c r="N89" s="2"/>
      <c r="O89" s="11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2:27" x14ac:dyDescent="0.2">
      <c r="C90" s="2" t="s">
        <v>4</v>
      </c>
      <c r="D90" s="10"/>
      <c r="E90" s="2"/>
      <c r="F90" s="2"/>
      <c r="G90" s="2"/>
      <c r="H90" s="2"/>
      <c r="I90" s="2"/>
      <c r="J90" s="2"/>
      <c r="K90" s="2"/>
      <c r="L90" s="2"/>
      <c r="M90" s="2"/>
      <c r="N90" s="2"/>
      <c r="O90" s="11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2:27" x14ac:dyDescent="0.2">
      <c r="C91" s="2" t="s">
        <v>5</v>
      </c>
      <c r="D91" s="10"/>
      <c r="E91" s="2"/>
      <c r="F91" s="2"/>
      <c r="G91" s="2"/>
      <c r="H91" s="2"/>
      <c r="I91" s="2"/>
      <c r="J91" s="2"/>
      <c r="K91" s="2"/>
      <c r="L91" s="2"/>
      <c r="M91" s="2"/>
      <c r="N91" s="2"/>
      <c r="O91" s="11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2:27" x14ac:dyDescent="0.2">
      <c r="C92" s="2" t="s">
        <v>6</v>
      </c>
      <c r="D92" s="10"/>
      <c r="E92" s="2"/>
      <c r="F92" s="2"/>
      <c r="G92" s="2"/>
      <c r="H92" s="2"/>
      <c r="I92" s="2"/>
      <c r="J92" s="2"/>
      <c r="K92" s="2"/>
      <c r="L92" s="2"/>
      <c r="M92" s="2"/>
      <c r="N92" s="2"/>
      <c r="O92" s="11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2:27" ht="17" thickBot="1" x14ac:dyDescent="0.25">
      <c r="C93" s="2" t="s">
        <v>7</v>
      </c>
      <c r="D93" s="6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2:27" x14ac:dyDescent="0.2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2:27" x14ac:dyDescent="0.2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2:27" x14ac:dyDescent="0.2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2:27" x14ac:dyDescent="0.2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2:27" x14ac:dyDescent="0.2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2:27" x14ac:dyDescent="0.2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2:27" x14ac:dyDescent="0.2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2:27" x14ac:dyDescent="0.2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2:27" x14ac:dyDescent="0.2">
      <c r="B102" s="9"/>
    </row>
    <row r="104" spans="2:27" x14ac:dyDescent="0.2">
      <c r="B104" s="9"/>
    </row>
    <row r="105" spans="2:27" ht="17" thickBot="1" x14ac:dyDescent="0.25">
      <c r="C105" s="2"/>
      <c r="D105" s="2">
        <v>1</v>
      </c>
      <c r="E105" s="2">
        <v>2</v>
      </c>
      <c r="F105" s="2">
        <v>3</v>
      </c>
      <c r="G105" s="2">
        <v>4</v>
      </c>
      <c r="H105" s="2">
        <v>5</v>
      </c>
      <c r="I105" s="2">
        <v>6</v>
      </c>
      <c r="J105" s="2">
        <v>7</v>
      </c>
      <c r="K105" s="2">
        <v>8</v>
      </c>
      <c r="L105" s="2">
        <v>9</v>
      </c>
      <c r="M105" s="2">
        <v>10</v>
      </c>
      <c r="N105" s="2">
        <v>11</v>
      </c>
      <c r="O105" s="2">
        <v>12</v>
      </c>
      <c r="P105" s="2">
        <v>13</v>
      </c>
      <c r="Q105" s="2">
        <v>14</v>
      </c>
      <c r="R105" s="2">
        <v>15</v>
      </c>
      <c r="S105" s="2">
        <v>16</v>
      </c>
      <c r="T105" s="2">
        <v>17</v>
      </c>
      <c r="U105" s="2">
        <v>18</v>
      </c>
      <c r="V105" s="2">
        <v>19</v>
      </c>
      <c r="W105" s="2">
        <v>20</v>
      </c>
      <c r="X105" s="2">
        <v>21</v>
      </c>
      <c r="Y105" s="2">
        <v>22</v>
      </c>
      <c r="Z105" s="2">
        <v>23</v>
      </c>
      <c r="AA105" s="2">
        <v>24</v>
      </c>
    </row>
    <row r="106" spans="2:27" x14ac:dyDescent="0.2">
      <c r="C106" s="2" t="s">
        <v>0</v>
      </c>
      <c r="D106" s="3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5"/>
    </row>
    <row r="107" spans="2:27" x14ac:dyDescent="0.2">
      <c r="C107" s="2" t="s">
        <v>1</v>
      </c>
      <c r="D107" s="10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11"/>
    </row>
    <row r="108" spans="2:27" x14ac:dyDescent="0.2">
      <c r="C108" s="2" t="s">
        <v>2</v>
      </c>
      <c r="D108" s="10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11"/>
    </row>
    <row r="109" spans="2:27" x14ac:dyDescent="0.2">
      <c r="C109" s="2" t="s">
        <v>3</v>
      </c>
      <c r="D109" s="10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11"/>
    </row>
    <row r="110" spans="2:27" x14ac:dyDescent="0.2">
      <c r="C110" s="2" t="s">
        <v>4</v>
      </c>
      <c r="D110" s="10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11"/>
    </row>
    <row r="111" spans="2:27" x14ac:dyDescent="0.2">
      <c r="C111" s="2" t="s">
        <v>5</v>
      </c>
      <c r="D111" s="10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11"/>
    </row>
    <row r="112" spans="2:27" x14ac:dyDescent="0.2">
      <c r="C112" s="2" t="s">
        <v>6</v>
      </c>
      <c r="D112" s="10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11"/>
    </row>
    <row r="113" spans="3:27" x14ac:dyDescent="0.2">
      <c r="C113" s="2" t="s">
        <v>7</v>
      </c>
      <c r="D113" s="10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11"/>
    </row>
    <row r="114" spans="3:27" x14ac:dyDescent="0.2">
      <c r="C114" s="2" t="s">
        <v>8</v>
      </c>
      <c r="D114" s="10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11"/>
    </row>
    <row r="115" spans="3:27" x14ac:dyDescent="0.2">
      <c r="C115" s="2" t="s">
        <v>9</v>
      </c>
      <c r="D115" s="10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11"/>
    </row>
    <row r="116" spans="3:27" x14ac:dyDescent="0.2">
      <c r="C116" s="2" t="s">
        <v>10</v>
      </c>
      <c r="D116" s="10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11"/>
    </row>
    <row r="117" spans="3:27" x14ac:dyDescent="0.2">
      <c r="C117" s="2" t="s">
        <v>11</v>
      </c>
      <c r="D117" s="10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11"/>
    </row>
    <row r="118" spans="3:27" x14ac:dyDescent="0.2">
      <c r="C118" s="2" t="s">
        <v>12</v>
      </c>
      <c r="D118" s="10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11"/>
    </row>
    <row r="119" spans="3:27" x14ac:dyDescent="0.2">
      <c r="C119" s="2" t="s">
        <v>13</v>
      </c>
      <c r="D119" s="10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11"/>
    </row>
    <row r="120" spans="3:27" x14ac:dyDescent="0.2">
      <c r="C120" s="2" t="s">
        <v>14</v>
      </c>
      <c r="D120" s="10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11"/>
    </row>
    <row r="121" spans="3:27" ht="17" thickBot="1" x14ac:dyDescent="0.25">
      <c r="C121" s="2" t="s">
        <v>15</v>
      </c>
      <c r="D121" s="6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4DCA1-262D-D24B-AB22-40D4968B5FA0}">
  <sheetPr codeName="Sheet2">
    <tabColor theme="5"/>
  </sheetPr>
  <dimension ref="A1:AE27"/>
  <sheetViews>
    <sheetView showGridLines="0" tabSelected="1" zoomScale="75" workbookViewId="0">
      <selection activeCell="D20" sqref="D20"/>
    </sheetView>
  </sheetViews>
  <sheetFormatPr baseColWidth="10" defaultRowHeight="16" x14ac:dyDescent="0.2"/>
  <cols>
    <col min="1" max="1" width="4.83203125" style="12" customWidth="1"/>
    <col min="2" max="16384" width="10.83203125" style="2"/>
  </cols>
  <sheetData>
    <row r="1" spans="4:31" s="12" customFormat="1" x14ac:dyDescent="0.2"/>
    <row r="5" spans="4:31" ht="17" thickBot="1" x14ac:dyDescent="0.25">
      <c r="D5" s="2" t="s">
        <v>16</v>
      </c>
    </row>
    <row r="6" spans="4:31" ht="17" thickBot="1" x14ac:dyDescent="0.25">
      <c r="D6" s="13">
        <v>384</v>
      </c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O6" s="2">
        <v>8</v>
      </c>
      <c r="P6" s="2">
        <v>9</v>
      </c>
      <c r="Q6" s="2">
        <v>10</v>
      </c>
      <c r="R6" s="2">
        <v>11</v>
      </c>
      <c r="S6" s="2">
        <v>12</v>
      </c>
      <c r="T6" s="2">
        <v>13</v>
      </c>
      <c r="U6" s="2">
        <v>14</v>
      </c>
      <c r="V6" s="2">
        <v>15</v>
      </c>
      <c r="W6" s="2">
        <v>16</v>
      </c>
      <c r="X6" s="2">
        <v>17</v>
      </c>
      <c r="Y6" s="2">
        <v>18</v>
      </c>
      <c r="Z6" s="2">
        <v>19</v>
      </c>
      <c r="AA6" s="2">
        <v>20</v>
      </c>
      <c r="AB6" s="2">
        <v>21</v>
      </c>
      <c r="AC6" s="2">
        <v>22</v>
      </c>
      <c r="AD6" s="2">
        <v>23</v>
      </c>
      <c r="AE6" s="2">
        <v>24</v>
      </c>
    </row>
    <row r="7" spans="4:31" x14ac:dyDescent="0.2">
      <c r="G7" s="2" t="s">
        <v>0</v>
      </c>
      <c r="H7" s="3" t="str">
        <f>_xlfn.TEXTJOIN(" ", TRUE, INDEX(Dosing_Plans!$C$6:$F$389, MATCH(_xlfn.CONCAT(Experiment_Plan!$G$7, Experiment_Plan!H6), Dosing_Plans!$B$6:$B$389, 0), 0))</f>
        <v>10</v>
      </c>
      <c r="I7" s="4" t="str">
        <f>_xlfn.TEXTJOIN(" ", TRUE, INDEX(Dosing_Plans!$C$6:$F$389, MATCH(_xlfn.CONCAT(Experiment_Plan!$G$7, Experiment_Plan!I6), Dosing_Plans!$B$6:$B$389, 0), 0))</f>
        <v>3.16</v>
      </c>
      <c r="J7" s="4" t="str">
        <f>_xlfn.TEXTJOIN(" ", TRUE, INDEX(Dosing_Plans!$C$6:$F$389, MATCH(_xlfn.CONCAT(Experiment_Plan!$G$7, Experiment_Plan!J6), Dosing_Plans!$B$6:$B$389, 0), 0))</f>
        <v>1</v>
      </c>
      <c r="K7" s="4" t="str">
        <f>_xlfn.TEXTJOIN(" ", TRUE, INDEX(Dosing_Plans!$C$6:$F$389, MATCH(_xlfn.CONCAT(Experiment_Plan!$G$7, Experiment_Plan!K6), Dosing_Plans!$B$6:$B$389, 0), 0))</f>
        <v>0.3</v>
      </c>
      <c r="L7" s="4" t="str">
        <f>_xlfn.TEXTJOIN(" ", TRUE, INDEX(Dosing_Plans!$C$6:$F$389, MATCH(_xlfn.CONCAT(Experiment_Plan!$G$7, Experiment_Plan!L6), Dosing_Plans!$B$6:$B$389, 0), 0))</f>
        <v>0.1</v>
      </c>
      <c r="M7" s="4" t="str">
        <f>_xlfn.TEXTJOIN(" ", TRUE, INDEX(Dosing_Plans!$C$6:$F$389, MATCH(_xlfn.CONCAT(Experiment_Plan!$G$7, Experiment_Plan!M6), Dosing_Plans!$B$6:$B$389, 0), 0))</f>
        <v>0.03</v>
      </c>
      <c r="N7" s="4" t="str">
        <f>_xlfn.TEXTJOIN(" ", TRUE, INDEX(Dosing_Plans!$C$6:$F$389, MATCH(_xlfn.CONCAT(Experiment_Plan!$G$7, Experiment_Plan!N6), Dosing_Plans!$B$6:$B$389, 0), 0))</f>
        <v>0.01</v>
      </c>
      <c r="O7" s="4" t="str">
        <f>_xlfn.TEXTJOIN(" ", TRUE, INDEX(Dosing_Plans!$C$6:$F$389, MATCH(_xlfn.CONCAT(Experiment_Plan!$G$7, Experiment_Plan!O6), Dosing_Plans!$B$6:$B$389, 0), 0))</f>
        <v>0.003</v>
      </c>
      <c r="P7" s="4" t="str">
        <f>_xlfn.TEXTJOIN(" ", TRUE, INDEX(Dosing_Plans!$C$6:$F$389, MATCH(_xlfn.CONCAT(Experiment_Plan!$G$7, Experiment_Plan!P6), Dosing_Plans!$B$6:$B$389, 0), 0))</f>
        <v>0.001</v>
      </c>
      <c r="Q7" s="4" t="str">
        <f>_xlfn.TEXTJOIN(" ", TRUE, INDEX(Dosing_Plans!$C$6:$F$389, MATCH(_xlfn.CONCAT(Experiment_Plan!$G$7, Experiment_Plan!Q6), Dosing_Plans!$B$6:$B$389, 0), 0))</f>
        <v>0.0003</v>
      </c>
      <c r="R7" s="4" t="str">
        <f>_xlfn.TEXTJOIN(" ", TRUE, INDEX(Dosing_Plans!$C$6:$F$389, MATCH(_xlfn.CONCAT(Experiment_Plan!$G$7, Experiment_Plan!R6), Dosing_Plans!$B$6:$B$389, 0), 0))</f>
        <v>0.0001</v>
      </c>
      <c r="S7" s="4" t="str">
        <f>_xlfn.TEXTJOIN(" ", TRUE, INDEX(Dosing_Plans!$C$6:$F$389, MATCH(_xlfn.CONCAT(Experiment_Plan!$G$7, Experiment_Plan!S6), Dosing_Plans!$B$6:$B$389, 0), 0))</f>
        <v>0.00003</v>
      </c>
      <c r="T7" s="4" t="str">
        <f>_xlfn.TEXTJOIN(" ", TRUE, INDEX(Dosing_Plans!$C$6:$F$389, MATCH(_xlfn.CONCAT(Experiment_Plan!$G$7, Experiment_Plan!T6), Dosing_Plans!$B$6:$B$389, 0), 0))</f>
        <v>0.00001</v>
      </c>
      <c r="U7" s="4" t="str">
        <f>_xlfn.TEXTJOIN(" ", TRUE, INDEX(Dosing_Plans!$C$6:$F$389, MATCH(_xlfn.CONCAT(Experiment_Plan!$G$7, Experiment_Plan!U6), Dosing_Plans!$B$6:$B$389, 0), 0))</f>
        <v>0.00001</v>
      </c>
      <c r="V7" s="4" t="str">
        <f>_xlfn.TEXTJOIN(" ", TRUE, INDEX(Dosing_Plans!$C$6:$F$389, MATCH(_xlfn.CONCAT(Experiment_Plan!$G$7, Experiment_Plan!V6), Dosing_Plans!$B$6:$B$389, 0), 0))</f>
        <v>0.00001</v>
      </c>
      <c r="W7" s="4" t="str">
        <f>_xlfn.TEXTJOIN(" ", TRUE, INDEX(Dosing_Plans!$C$6:$F$389, MATCH(_xlfn.CONCAT(Experiment_Plan!$G$7, Experiment_Plan!W6), Dosing_Plans!$B$6:$B$389, 0), 0))</f>
        <v>0.00001</v>
      </c>
      <c r="X7" s="4" t="str">
        <f>_xlfn.TEXTJOIN(" ", TRUE, INDEX(Dosing_Plans!$C$6:$F$389, MATCH(_xlfn.CONCAT(Experiment_Plan!$G$7, Experiment_Plan!X6), Dosing_Plans!$B$6:$B$389, 0), 0))</f>
        <v>0.00001</v>
      </c>
      <c r="Y7" s="4" t="str">
        <f>_xlfn.TEXTJOIN(" ", TRUE, INDEX(Dosing_Plans!$C$6:$F$389, MATCH(_xlfn.CONCAT(Experiment_Plan!$G$7, Experiment_Plan!Y6), Dosing_Plans!$B$6:$B$389, 0), 0))</f>
        <v>0.00001</v>
      </c>
      <c r="Z7" s="4" t="str">
        <f>_xlfn.TEXTJOIN(" ", TRUE, INDEX(Dosing_Plans!$C$6:$F$389, MATCH(_xlfn.CONCAT(Experiment_Plan!$G$7, Experiment_Plan!Z6), Dosing_Plans!$B$6:$B$389, 0), 0))</f>
        <v>0.00001</v>
      </c>
      <c r="AA7" s="4" t="str">
        <f>_xlfn.TEXTJOIN(" ", TRUE, INDEX(Dosing_Plans!$C$6:$F$389, MATCH(_xlfn.CONCAT(Experiment_Plan!$G$7, Experiment_Plan!AA6), Dosing_Plans!$B$6:$B$389, 0), 0))</f>
        <v>0.00001</v>
      </c>
      <c r="AB7" s="4" t="str">
        <f>_xlfn.TEXTJOIN(" ", TRUE, INDEX(Dosing_Plans!$C$6:$F$389, MATCH(_xlfn.CONCAT(Experiment_Plan!$G$7, Experiment_Plan!AB6), Dosing_Plans!$B$6:$B$389, 0), 0))</f>
        <v>0.00001</v>
      </c>
      <c r="AC7" s="4" t="str">
        <f>_xlfn.TEXTJOIN(" ", TRUE, INDEX(Dosing_Plans!$C$6:$F$389, MATCH(_xlfn.CONCAT(Experiment_Plan!$G$7, Experiment_Plan!AC6), Dosing_Plans!$B$6:$B$389, 0), 0))</f>
        <v>0.00001</v>
      </c>
      <c r="AD7" s="4" t="str">
        <f>_xlfn.TEXTJOIN(" ", TRUE, INDEX(Dosing_Plans!$C$6:$F$389, MATCH(_xlfn.CONCAT(Experiment_Plan!$G$7, Experiment_Plan!AD6), Dosing_Plans!$B$6:$B$389, 0), 0))</f>
        <v>0.00001</v>
      </c>
      <c r="AE7" s="5" t="str">
        <f>_xlfn.TEXTJOIN(" ", TRUE, INDEX(Dosing_Plans!$C$6:$F$389, MATCH(_xlfn.CONCAT(Experiment_Plan!$G$7, Experiment_Plan!AE6), Dosing_Plans!$B$6:$B$389, 0), 0))</f>
        <v>0.00001</v>
      </c>
    </row>
    <row r="8" spans="4:31" x14ac:dyDescent="0.2">
      <c r="G8" s="2" t="s">
        <v>1</v>
      </c>
      <c r="H8" s="10" t="str">
        <f>_xlfn.TEXTJOIN(" ", TRUE, INDEX(Dosing_Plans!$C$6:$F$389, MATCH(_xlfn.CONCAT(Experiment_Plan!$G$8, Experiment_Plan!H6), Dosing_Plans!$B$6:$B$389, 0), 0))</f>
        <v>10</v>
      </c>
      <c r="I8" s="2" t="str">
        <f>_xlfn.TEXTJOIN(" ", TRUE, INDEX(Dosing_Plans!$C$6:$F$389, MATCH(_xlfn.CONCAT(Experiment_Plan!$G$8, Experiment_Plan!I6), Dosing_Plans!$B$6:$B$389, 0), 0))</f>
        <v>3.16</v>
      </c>
      <c r="J8" s="2" t="str">
        <f>_xlfn.TEXTJOIN(" ", TRUE, INDEX(Dosing_Plans!$C$6:$F$389, MATCH(_xlfn.CONCAT(Experiment_Plan!$G$8, Experiment_Plan!J6), Dosing_Plans!$B$6:$B$389, 0), 0))</f>
        <v>1</v>
      </c>
      <c r="K8" s="2" t="str">
        <f>_xlfn.TEXTJOIN(" ", TRUE, INDEX(Dosing_Plans!$C$6:$F$389, MATCH(_xlfn.CONCAT(Experiment_Plan!$G$8, Experiment_Plan!K6), Dosing_Plans!$B$6:$B$389, 0), 0))</f>
        <v>0.3</v>
      </c>
      <c r="L8" s="2" t="str">
        <f>_xlfn.TEXTJOIN(" ", TRUE, INDEX(Dosing_Plans!$C$6:$F$389, MATCH(_xlfn.CONCAT(Experiment_Plan!$G$8, Experiment_Plan!L6), Dosing_Plans!$B$6:$B$389, 0), 0))</f>
        <v>0.1</v>
      </c>
      <c r="M8" s="2" t="str">
        <f>_xlfn.TEXTJOIN(" ", TRUE, INDEX(Dosing_Plans!$C$6:$F$389, MATCH(_xlfn.CONCAT(Experiment_Plan!$G$8, Experiment_Plan!M6), Dosing_Plans!$B$6:$B$389, 0), 0))</f>
        <v>0.03</v>
      </c>
      <c r="N8" s="2" t="str">
        <f>_xlfn.TEXTJOIN(" ", TRUE, INDEX(Dosing_Plans!$C$6:$F$389, MATCH(_xlfn.CONCAT(Experiment_Plan!$G$8, Experiment_Plan!N6), Dosing_Plans!$B$6:$B$389, 0), 0))</f>
        <v>0.01</v>
      </c>
      <c r="O8" s="2" t="str">
        <f>_xlfn.TEXTJOIN(" ", TRUE, INDEX(Dosing_Plans!$C$6:$F$389, MATCH(_xlfn.CONCAT(Experiment_Plan!$G$8, Experiment_Plan!O6), Dosing_Plans!$B$6:$B$389, 0), 0))</f>
        <v>0.003</v>
      </c>
      <c r="P8" s="2" t="str">
        <f>_xlfn.TEXTJOIN(" ", TRUE, INDEX(Dosing_Plans!$C$6:$F$389, MATCH(_xlfn.CONCAT(Experiment_Plan!$G$8, Experiment_Plan!P6), Dosing_Plans!$B$6:$B$389, 0), 0))</f>
        <v>0.001</v>
      </c>
      <c r="Q8" s="2" t="str">
        <f>_xlfn.TEXTJOIN(" ", TRUE, INDEX(Dosing_Plans!$C$6:$F$389, MATCH(_xlfn.CONCAT(Experiment_Plan!$G$8, Experiment_Plan!Q6), Dosing_Plans!$B$6:$B$389, 0), 0))</f>
        <v>0.0003</v>
      </c>
      <c r="R8" s="2" t="str">
        <f>_xlfn.TEXTJOIN(" ", TRUE, INDEX(Dosing_Plans!$C$6:$F$389, MATCH(_xlfn.CONCAT(Experiment_Plan!$G$8, Experiment_Plan!R6), Dosing_Plans!$B$6:$B$389, 0), 0))</f>
        <v>0.0001</v>
      </c>
      <c r="S8" s="2" t="str">
        <f>_xlfn.TEXTJOIN(" ", TRUE, INDEX(Dosing_Plans!$C$6:$F$389, MATCH(_xlfn.CONCAT(Experiment_Plan!$G$8, Experiment_Plan!S6), Dosing_Plans!$B$6:$B$389, 0), 0))</f>
        <v>0.00003</v>
      </c>
      <c r="T8" s="2" t="str">
        <f>_xlfn.TEXTJOIN(" ", TRUE, INDEX(Dosing_Plans!$C$6:$F$389, MATCH(_xlfn.CONCAT(Experiment_Plan!$G$8, Experiment_Plan!T6), Dosing_Plans!$B$6:$B$389, 0), 0))</f>
        <v>0.00001</v>
      </c>
      <c r="U8" s="2" t="str">
        <f>_xlfn.TEXTJOIN(" ", TRUE, INDEX(Dosing_Plans!$C$6:$F$389, MATCH(_xlfn.CONCAT(Experiment_Plan!$G$8, Experiment_Plan!U6), Dosing_Plans!$B$6:$B$389, 0), 0))</f>
        <v>0.00001</v>
      </c>
      <c r="V8" s="2" t="str">
        <f>_xlfn.TEXTJOIN(" ", TRUE, INDEX(Dosing_Plans!$C$6:$F$389, MATCH(_xlfn.CONCAT(Experiment_Plan!$G$8, Experiment_Plan!V6), Dosing_Plans!$B$6:$B$389, 0), 0))</f>
        <v>0.00001</v>
      </c>
      <c r="W8" s="2" t="str">
        <f>_xlfn.TEXTJOIN(" ", TRUE, INDEX(Dosing_Plans!$C$6:$F$389, MATCH(_xlfn.CONCAT(Experiment_Plan!$G$8, Experiment_Plan!W6), Dosing_Plans!$B$6:$B$389, 0), 0))</f>
        <v>0.00001</v>
      </c>
      <c r="X8" s="2" t="str">
        <f>_xlfn.TEXTJOIN(" ", TRUE, INDEX(Dosing_Plans!$C$6:$F$389, MATCH(_xlfn.CONCAT(Experiment_Plan!$G$8, Experiment_Plan!X6), Dosing_Plans!$B$6:$B$389, 0), 0))</f>
        <v>0.00001</v>
      </c>
      <c r="Y8" s="2" t="str">
        <f>_xlfn.TEXTJOIN(" ", TRUE, INDEX(Dosing_Plans!$C$6:$F$389, MATCH(_xlfn.CONCAT(Experiment_Plan!$G$8, Experiment_Plan!Y6), Dosing_Plans!$B$6:$B$389, 0), 0))</f>
        <v>0.00001</v>
      </c>
      <c r="Z8" s="2" t="str">
        <f>_xlfn.TEXTJOIN(" ", TRUE, INDEX(Dosing_Plans!$C$6:$F$389, MATCH(_xlfn.CONCAT(Experiment_Plan!$G$8, Experiment_Plan!Z6), Dosing_Plans!$B$6:$B$389, 0), 0))</f>
        <v>0.00001</v>
      </c>
      <c r="AA8" s="2" t="str">
        <f>_xlfn.TEXTJOIN(" ", TRUE, INDEX(Dosing_Plans!$C$6:$F$389, MATCH(_xlfn.CONCAT(Experiment_Plan!$G$8, Experiment_Plan!AA6), Dosing_Plans!$B$6:$B$389, 0), 0))</f>
        <v>0.00001</v>
      </c>
      <c r="AB8" s="2" t="str">
        <f>_xlfn.TEXTJOIN(" ", TRUE, INDEX(Dosing_Plans!$C$6:$F$389, MATCH(_xlfn.CONCAT(Experiment_Plan!$G$8, Experiment_Plan!AB6), Dosing_Plans!$B$6:$B$389, 0), 0))</f>
        <v>0.00001</v>
      </c>
      <c r="AC8" s="2" t="str">
        <f>_xlfn.TEXTJOIN(" ", TRUE, INDEX(Dosing_Plans!$C$6:$F$389, MATCH(_xlfn.CONCAT(Experiment_Plan!$G$8, Experiment_Plan!AC6), Dosing_Plans!$B$6:$B$389, 0), 0))</f>
        <v>0.00001</v>
      </c>
      <c r="AD8" s="2" t="str">
        <f>_xlfn.TEXTJOIN(" ", TRUE, INDEX(Dosing_Plans!$C$6:$F$389, MATCH(_xlfn.CONCAT(Experiment_Plan!$G$8, Experiment_Plan!AD6), Dosing_Plans!$B$6:$B$389, 0), 0))</f>
        <v>0.00001</v>
      </c>
      <c r="AE8" s="11" t="str">
        <f>_xlfn.TEXTJOIN(" ", TRUE, INDEX(Dosing_Plans!$C$6:$F$389, MATCH(_xlfn.CONCAT(Experiment_Plan!$G$8, Experiment_Plan!AE6), Dosing_Plans!$B$6:$B$389, 0), 0))</f>
        <v>0.00001</v>
      </c>
    </row>
    <row r="9" spans="4:31" x14ac:dyDescent="0.2">
      <c r="G9" s="2" t="s">
        <v>2</v>
      </c>
      <c r="H9" s="10" t="str">
        <f>_xlfn.TEXTJOIN(" ", TRUE, INDEX(Dosing_Plans!$C$6:$F$389, MATCH(_xlfn.CONCAT(Experiment_Plan!$G$9, Experiment_Plan!H6), Dosing_Plans!$B$6:$B$389, 0), 0))</f>
        <v>10</v>
      </c>
      <c r="I9" s="2" t="str">
        <f>_xlfn.TEXTJOIN(" ", TRUE, INDEX(Dosing_Plans!$C$6:$F$389, MATCH(_xlfn.CONCAT(Experiment_Plan!$G$9, Experiment_Plan!I6), Dosing_Plans!$B$6:$B$389, 0), 0))</f>
        <v>3.16</v>
      </c>
      <c r="J9" s="2" t="str">
        <f>_xlfn.TEXTJOIN(" ", TRUE, INDEX(Dosing_Plans!$C$6:$F$389, MATCH(_xlfn.CONCAT(Experiment_Plan!$G$9, Experiment_Plan!J6), Dosing_Plans!$B$6:$B$389, 0), 0))</f>
        <v>1</v>
      </c>
      <c r="K9" s="2" t="str">
        <f>_xlfn.TEXTJOIN(" ", TRUE, INDEX(Dosing_Plans!$C$6:$F$389, MATCH(_xlfn.CONCAT(Experiment_Plan!$G$9, Experiment_Plan!K6), Dosing_Plans!$B$6:$B$389, 0), 0))</f>
        <v>0.3</v>
      </c>
      <c r="L9" s="2" t="str">
        <f>_xlfn.TEXTJOIN(" ", TRUE, INDEX(Dosing_Plans!$C$6:$F$389, MATCH(_xlfn.CONCAT(Experiment_Plan!$G$9, Experiment_Plan!L6), Dosing_Plans!$B$6:$B$389, 0), 0))</f>
        <v>0.1</v>
      </c>
      <c r="M9" s="2" t="str">
        <f>_xlfn.TEXTJOIN(" ", TRUE, INDEX(Dosing_Plans!$C$6:$F$389, MATCH(_xlfn.CONCAT(Experiment_Plan!$G$9, Experiment_Plan!M6), Dosing_Plans!$B$6:$B$389, 0), 0))</f>
        <v>0.03</v>
      </c>
      <c r="N9" s="2" t="str">
        <f>_xlfn.TEXTJOIN(" ", TRUE, INDEX(Dosing_Plans!$C$6:$F$389, MATCH(_xlfn.CONCAT(Experiment_Plan!$G$9, Experiment_Plan!N6), Dosing_Plans!$B$6:$B$389, 0), 0))</f>
        <v>0.01</v>
      </c>
      <c r="O9" s="2" t="str">
        <f>_xlfn.TEXTJOIN(" ", TRUE, INDEX(Dosing_Plans!$C$6:$F$389, MATCH(_xlfn.CONCAT(Experiment_Plan!$G$9, Experiment_Plan!O6), Dosing_Plans!$B$6:$B$389, 0), 0))</f>
        <v>0.003</v>
      </c>
      <c r="P9" s="2" t="str">
        <f>_xlfn.TEXTJOIN(" ", TRUE, INDEX(Dosing_Plans!$C$6:$F$389, MATCH(_xlfn.CONCAT(Experiment_Plan!$G$9, Experiment_Plan!P6), Dosing_Plans!$B$6:$B$389, 0), 0))</f>
        <v>0.001</v>
      </c>
      <c r="Q9" s="2" t="str">
        <f>_xlfn.TEXTJOIN(" ", TRUE, INDEX(Dosing_Plans!$C$6:$F$389, MATCH(_xlfn.CONCAT(Experiment_Plan!$G$9, Experiment_Plan!Q6), Dosing_Plans!$B$6:$B$389, 0), 0))</f>
        <v>0.0003</v>
      </c>
      <c r="R9" s="2" t="str">
        <f>_xlfn.TEXTJOIN(" ", TRUE, INDEX(Dosing_Plans!$C$6:$F$389, MATCH(_xlfn.CONCAT(Experiment_Plan!$G$9, Experiment_Plan!R6), Dosing_Plans!$B$6:$B$389, 0), 0))</f>
        <v>0.0001</v>
      </c>
      <c r="S9" s="2" t="str">
        <f>_xlfn.TEXTJOIN(" ", TRUE, INDEX(Dosing_Plans!$C$6:$F$389, MATCH(_xlfn.CONCAT(Experiment_Plan!$G$9, Experiment_Plan!S6), Dosing_Plans!$B$6:$B$389, 0), 0))</f>
        <v>0.00003</v>
      </c>
      <c r="T9" s="2" t="str">
        <f>_xlfn.TEXTJOIN(" ", TRUE, INDEX(Dosing_Plans!$C$6:$F$389, MATCH(_xlfn.CONCAT(Experiment_Plan!$G$9, Experiment_Plan!T6), Dosing_Plans!$B$6:$B$389, 0), 0))</f>
        <v>0.00001</v>
      </c>
      <c r="U9" s="2" t="str">
        <f>_xlfn.TEXTJOIN(" ", TRUE, INDEX(Dosing_Plans!$C$6:$F$389, MATCH(_xlfn.CONCAT(Experiment_Plan!$G$9, Experiment_Plan!U6), Dosing_Plans!$B$6:$B$389, 0), 0))</f>
        <v>0.00001</v>
      </c>
      <c r="V9" s="2" t="str">
        <f>_xlfn.TEXTJOIN(" ", TRUE, INDEX(Dosing_Plans!$C$6:$F$389, MATCH(_xlfn.CONCAT(Experiment_Plan!$G$9, Experiment_Plan!V6), Dosing_Plans!$B$6:$B$389, 0), 0))</f>
        <v>0.00001</v>
      </c>
      <c r="W9" s="2" t="str">
        <f>_xlfn.TEXTJOIN(" ", TRUE, INDEX(Dosing_Plans!$C$6:$F$389, MATCH(_xlfn.CONCAT(Experiment_Plan!$G$9, Experiment_Plan!W6), Dosing_Plans!$B$6:$B$389, 0), 0))</f>
        <v>0.00001</v>
      </c>
      <c r="X9" s="2" t="str">
        <f>_xlfn.TEXTJOIN(" ", TRUE, INDEX(Dosing_Plans!$C$6:$F$389, MATCH(_xlfn.CONCAT(Experiment_Plan!$G$9, Experiment_Plan!X6), Dosing_Plans!$B$6:$B$389, 0), 0))</f>
        <v>0.00001</v>
      </c>
      <c r="Y9" s="2" t="str">
        <f>_xlfn.TEXTJOIN(" ", TRUE, INDEX(Dosing_Plans!$C$6:$F$389, MATCH(_xlfn.CONCAT(Experiment_Plan!$G$9, Experiment_Plan!Y6), Dosing_Plans!$B$6:$B$389, 0), 0))</f>
        <v>0.00001</v>
      </c>
      <c r="Z9" s="2" t="str">
        <f>_xlfn.TEXTJOIN(" ", TRUE, INDEX(Dosing_Plans!$C$6:$F$389, MATCH(_xlfn.CONCAT(Experiment_Plan!$G$9, Experiment_Plan!Z6), Dosing_Plans!$B$6:$B$389, 0), 0))</f>
        <v>0.00001</v>
      </c>
      <c r="AA9" s="2" t="str">
        <f>_xlfn.TEXTJOIN(" ", TRUE, INDEX(Dosing_Plans!$C$6:$F$389, MATCH(_xlfn.CONCAT(Experiment_Plan!$G$9, Experiment_Plan!AA6), Dosing_Plans!$B$6:$B$389, 0), 0))</f>
        <v>0.00001</v>
      </c>
      <c r="AB9" s="2" t="str">
        <f>_xlfn.TEXTJOIN(" ", TRUE, INDEX(Dosing_Plans!$C$6:$F$389, MATCH(_xlfn.CONCAT(Experiment_Plan!$G$9, Experiment_Plan!AB6), Dosing_Plans!$B$6:$B$389, 0), 0))</f>
        <v>0.00001</v>
      </c>
      <c r="AC9" s="2" t="str">
        <f>_xlfn.TEXTJOIN(" ", TRUE, INDEX(Dosing_Plans!$C$6:$F$389, MATCH(_xlfn.CONCAT(Experiment_Plan!$G$9, Experiment_Plan!AC6), Dosing_Plans!$B$6:$B$389, 0), 0))</f>
        <v>0.00001</v>
      </c>
      <c r="AD9" s="2" t="str">
        <f>_xlfn.TEXTJOIN(" ", TRUE, INDEX(Dosing_Plans!$C$6:$F$389, MATCH(_xlfn.CONCAT(Experiment_Plan!$G$9, Experiment_Plan!AD6), Dosing_Plans!$B$6:$B$389, 0), 0))</f>
        <v>0.00001</v>
      </c>
      <c r="AE9" s="11" t="str">
        <f>_xlfn.TEXTJOIN(" ", TRUE, INDEX(Dosing_Plans!$C$6:$F$389, MATCH(_xlfn.CONCAT(Experiment_Plan!$G$9, Experiment_Plan!AE6), Dosing_Plans!$B$6:$B$389, 0), 0))</f>
        <v>0.00001</v>
      </c>
    </row>
    <row r="10" spans="4:31" x14ac:dyDescent="0.2">
      <c r="G10" s="2" t="s">
        <v>3</v>
      </c>
      <c r="H10" s="10" t="str">
        <f>_xlfn.TEXTJOIN(" ", TRUE, INDEX(Dosing_Plans!$C$6:$F$389, MATCH(_xlfn.CONCAT(Experiment_Plan!$G$10, Experiment_Plan!H6), Dosing_Plans!$B$6:$B$389, 0), 0))</f>
        <v>10</v>
      </c>
      <c r="I10" s="2" t="str">
        <f>_xlfn.TEXTJOIN(" ", TRUE, INDEX(Dosing_Plans!$C$6:$F$389, MATCH(_xlfn.CONCAT(Experiment_Plan!$G$10, Experiment_Plan!I6), Dosing_Plans!$B$6:$B$389, 0), 0))</f>
        <v>3.16</v>
      </c>
      <c r="J10" s="2" t="str">
        <f>_xlfn.TEXTJOIN(" ", TRUE, INDEX(Dosing_Plans!$C$6:$F$389, MATCH(_xlfn.CONCAT(Experiment_Plan!$G$10, Experiment_Plan!J6), Dosing_Plans!$B$6:$B$389, 0), 0))</f>
        <v>1</v>
      </c>
      <c r="K10" s="2" t="str">
        <f>_xlfn.TEXTJOIN(" ", TRUE, INDEX(Dosing_Plans!$C$6:$F$389, MATCH(_xlfn.CONCAT(Experiment_Plan!$G$10, Experiment_Plan!K6), Dosing_Plans!$B$6:$B$389, 0), 0))</f>
        <v>0.3</v>
      </c>
      <c r="L10" s="2" t="str">
        <f>_xlfn.TEXTJOIN(" ", TRUE, INDEX(Dosing_Plans!$C$6:$F$389, MATCH(_xlfn.CONCAT(Experiment_Plan!$G$10, Experiment_Plan!L6), Dosing_Plans!$B$6:$B$389, 0), 0))</f>
        <v>0.1</v>
      </c>
      <c r="M10" s="2" t="str">
        <f>_xlfn.TEXTJOIN(" ", TRUE, INDEX(Dosing_Plans!$C$6:$F$389, MATCH(_xlfn.CONCAT(Experiment_Plan!$G$10, Experiment_Plan!M6), Dosing_Plans!$B$6:$B$389, 0), 0))</f>
        <v>0.03</v>
      </c>
      <c r="N10" s="2" t="str">
        <f>_xlfn.TEXTJOIN(" ", TRUE, INDEX(Dosing_Plans!$C$6:$F$389, MATCH(_xlfn.CONCAT(Experiment_Plan!$G$10, Experiment_Plan!N6), Dosing_Plans!$B$6:$B$389, 0), 0))</f>
        <v>0.01</v>
      </c>
      <c r="O10" s="2" t="str">
        <f>_xlfn.TEXTJOIN(" ", TRUE, INDEX(Dosing_Plans!$C$6:$F$389, MATCH(_xlfn.CONCAT(Experiment_Plan!$G$10, Experiment_Plan!O6), Dosing_Plans!$B$6:$B$389, 0), 0))</f>
        <v>0.003</v>
      </c>
      <c r="P10" s="2" t="str">
        <f>_xlfn.TEXTJOIN(" ", TRUE, INDEX(Dosing_Plans!$C$6:$F$389, MATCH(_xlfn.CONCAT(Experiment_Plan!$G$10, Experiment_Plan!P6), Dosing_Plans!$B$6:$B$389, 0), 0))</f>
        <v>0.001</v>
      </c>
      <c r="Q10" s="2" t="str">
        <f>_xlfn.TEXTJOIN(" ", TRUE, INDEX(Dosing_Plans!$C$6:$F$389, MATCH(_xlfn.CONCAT(Experiment_Plan!$G$10, Experiment_Plan!Q6), Dosing_Plans!$B$6:$B$389, 0), 0))</f>
        <v>0.0003</v>
      </c>
      <c r="R10" s="2" t="str">
        <f>_xlfn.TEXTJOIN(" ", TRUE, INDEX(Dosing_Plans!$C$6:$F$389, MATCH(_xlfn.CONCAT(Experiment_Plan!$G$10, Experiment_Plan!R6), Dosing_Plans!$B$6:$B$389, 0), 0))</f>
        <v>0.0001</v>
      </c>
      <c r="S10" s="2" t="str">
        <f>_xlfn.TEXTJOIN(" ", TRUE, INDEX(Dosing_Plans!$C$6:$F$389, MATCH(_xlfn.CONCAT(Experiment_Plan!$G$10, Experiment_Plan!S6), Dosing_Plans!$B$6:$B$389, 0), 0))</f>
        <v>0.00003</v>
      </c>
      <c r="T10" s="2" t="str">
        <f>_xlfn.TEXTJOIN(" ", TRUE, INDEX(Dosing_Plans!$C$6:$F$389, MATCH(_xlfn.CONCAT(Experiment_Plan!$G$10, Experiment_Plan!T6), Dosing_Plans!$B$6:$B$389, 0), 0))</f>
        <v>0.00001</v>
      </c>
      <c r="U10" s="2" t="str">
        <f>_xlfn.TEXTJOIN(" ", TRUE, INDEX(Dosing_Plans!$C$6:$F$389, MATCH(_xlfn.CONCAT(Experiment_Plan!$G$10, Experiment_Plan!U6), Dosing_Plans!$B$6:$B$389, 0), 0))</f>
        <v>0.00001</v>
      </c>
      <c r="V10" s="2" t="str">
        <f>_xlfn.TEXTJOIN(" ", TRUE, INDEX(Dosing_Plans!$C$6:$F$389, MATCH(_xlfn.CONCAT(Experiment_Plan!$G$10, Experiment_Plan!V6), Dosing_Plans!$B$6:$B$389, 0), 0))</f>
        <v>0.00001</v>
      </c>
      <c r="W10" s="2" t="str">
        <f>_xlfn.TEXTJOIN(" ", TRUE, INDEX(Dosing_Plans!$C$6:$F$389, MATCH(_xlfn.CONCAT(Experiment_Plan!$G$10, Experiment_Plan!W6), Dosing_Plans!$B$6:$B$389, 0), 0))</f>
        <v>0.00001</v>
      </c>
      <c r="X10" s="2" t="str">
        <f>_xlfn.TEXTJOIN(" ", TRUE, INDEX(Dosing_Plans!$C$6:$F$389, MATCH(_xlfn.CONCAT(Experiment_Plan!$G$10, Experiment_Plan!X6), Dosing_Plans!$B$6:$B$389, 0), 0))</f>
        <v>0.00001</v>
      </c>
      <c r="Y10" s="2" t="str">
        <f>_xlfn.TEXTJOIN(" ", TRUE, INDEX(Dosing_Plans!$C$6:$F$389, MATCH(_xlfn.CONCAT(Experiment_Plan!$G$10, Experiment_Plan!Y6), Dosing_Plans!$B$6:$B$389, 0), 0))</f>
        <v>0.00001</v>
      </c>
      <c r="Z10" s="2" t="str">
        <f>_xlfn.TEXTJOIN(" ", TRUE, INDEX(Dosing_Plans!$C$6:$F$389, MATCH(_xlfn.CONCAT(Experiment_Plan!$G$10, Experiment_Plan!Z6), Dosing_Plans!$B$6:$B$389, 0), 0))</f>
        <v>0.00001</v>
      </c>
      <c r="AA10" s="2" t="str">
        <f>_xlfn.TEXTJOIN(" ", TRUE, INDEX(Dosing_Plans!$C$6:$F$389, MATCH(_xlfn.CONCAT(Experiment_Plan!$G$10, Experiment_Plan!AA6), Dosing_Plans!$B$6:$B$389, 0), 0))</f>
        <v>0.00001</v>
      </c>
      <c r="AB10" s="2" t="str">
        <f>_xlfn.TEXTJOIN(" ", TRUE, INDEX(Dosing_Plans!$C$6:$F$389, MATCH(_xlfn.CONCAT(Experiment_Plan!$G$10, Experiment_Plan!AB6), Dosing_Plans!$B$6:$B$389, 0), 0))</f>
        <v>0.00001</v>
      </c>
      <c r="AC10" s="2" t="str">
        <f>_xlfn.TEXTJOIN(" ", TRUE, INDEX(Dosing_Plans!$C$6:$F$389, MATCH(_xlfn.CONCAT(Experiment_Plan!$G$10, Experiment_Plan!AC6), Dosing_Plans!$B$6:$B$389, 0), 0))</f>
        <v>0.00001</v>
      </c>
      <c r="AD10" s="2" t="str">
        <f>_xlfn.TEXTJOIN(" ", TRUE, INDEX(Dosing_Plans!$C$6:$F$389, MATCH(_xlfn.CONCAT(Experiment_Plan!$G$10, Experiment_Plan!AD6), Dosing_Plans!$B$6:$B$389, 0), 0))</f>
        <v>0.00001</v>
      </c>
      <c r="AE10" s="11" t="str">
        <f>_xlfn.TEXTJOIN(" ", TRUE, INDEX(Dosing_Plans!$C$6:$F$389, MATCH(_xlfn.CONCAT(Experiment_Plan!$G$10, Experiment_Plan!AE6), Dosing_Plans!$B$6:$B$389, 0), 0))</f>
        <v>0.00001</v>
      </c>
    </row>
    <row r="11" spans="4:31" x14ac:dyDescent="0.2">
      <c r="G11" s="2" t="s">
        <v>4</v>
      </c>
      <c r="H11" s="10" t="str">
        <f>_xlfn.TEXTJOIN(" ", TRUE, INDEX(Dosing_Plans!$C$6:$F$389, MATCH(_xlfn.CONCAT(Experiment_Plan!$G$11, Experiment_Plan!H6), Dosing_Plans!$B$6:$B$389, 0), 0))</f>
        <v>10</v>
      </c>
      <c r="I11" s="2" t="str">
        <f>_xlfn.TEXTJOIN(" ", TRUE, INDEX(Dosing_Plans!$C$6:$F$389, MATCH(_xlfn.CONCAT(Experiment_Plan!$G$11, Experiment_Plan!I6), Dosing_Plans!$B$6:$B$389, 0), 0))</f>
        <v>3.16</v>
      </c>
      <c r="J11" s="2" t="str">
        <f>_xlfn.TEXTJOIN(" ", TRUE, INDEX(Dosing_Plans!$C$6:$F$389, MATCH(_xlfn.CONCAT(Experiment_Plan!$G$11, Experiment_Plan!J6), Dosing_Plans!$B$6:$B$389, 0), 0))</f>
        <v>1</v>
      </c>
      <c r="K11" s="2" t="str">
        <f>_xlfn.TEXTJOIN(" ", TRUE, INDEX(Dosing_Plans!$C$6:$F$389, MATCH(_xlfn.CONCAT(Experiment_Plan!$G$11, Experiment_Plan!K6), Dosing_Plans!$B$6:$B$389, 0), 0))</f>
        <v>0.3</v>
      </c>
      <c r="L11" s="2" t="str">
        <f>_xlfn.TEXTJOIN(" ", TRUE, INDEX(Dosing_Plans!$C$6:$F$389, MATCH(_xlfn.CONCAT(Experiment_Plan!$G$11, Experiment_Plan!L6), Dosing_Plans!$B$6:$B$389, 0), 0))</f>
        <v>0.1</v>
      </c>
      <c r="M11" s="2" t="str">
        <f>_xlfn.TEXTJOIN(" ", TRUE, INDEX(Dosing_Plans!$C$6:$F$389, MATCH(_xlfn.CONCAT(Experiment_Plan!$G$11, Experiment_Plan!M6), Dosing_Plans!$B$6:$B$389, 0), 0))</f>
        <v>0.03</v>
      </c>
      <c r="N11" s="2" t="str">
        <f>_xlfn.TEXTJOIN(" ", TRUE, INDEX(Dosing_Plans!$C$6:$F$389, MATCH(_xlfn.CONCAT(Experiment_Plan!$G$11, Experiment_Plan!N6), Dosing_Plans!$B$6:$B$389, 0), 0))</f>
        <v>0.01</v>
      </c>
      <c r="O11" s="2" t="str">
        <f>_xlfn.TEXTJOIN(" ", TRUE, INDEX(Dosing_Plans!$C$6:$F$389, MATCH(_xlfn.CONCAT(Experiment_Plan!$G$11, Experiment_Plan!O6), Dosing_Plans!$B$6:$B$389, 0), 0))</f>
        <v>0.003</v>
      </c>
      <c r="P11" s="2" t="str">
        <f>_xlfn.TEXTJOIN(" ", TRUE, INDEX(Dosing_Plans!$C$6:$F$389, MATCH(_xlfn.CONCAT(Experiment_Plan!$G$11, Experiment_Plan!P6), Dosing_Plans!$B$6:$B$389, 0), 0))</f>
        <v>0.001</v>
      </c>
      <c r="Q11" s="2" t="str">
        <f>_xlfn.TEXTJOIN(" ", TRUE, INDEX(Dosing_Plans!$C$6:$F$389, MATCH(_xlfn.CONCAT(Experiment_Plan!$G$11, Experiment_Plan!Q6), Dosing_Plans!$B$6:$B$389, 0), 0))</f>
        <v>0.0003</v>
      </c>
      <c r="R11" s="2" t="str">
        <f>_xlfn.TEXTJOIN(" ", TRUE, INDEX(Dosing_Plans!$C$6:$F$389, MATCH(_xlfn.CONCAT(Experiment_Plan!$G$11, Experiment_Plan!R6), Dosing_Plans!$B$6:$B$389, 0), 0))</f>
        <v>0.0001</v>
      </c>
      <c r="S11" s="2" t="str">
        <f>_xlfn.TEXTJOIN(" ", TRUE, INDEX(Dosing_Plans!$C$6:$F$389, MATCH(_xlfn.CONCAT(Experiment_Plan!$G$11, Experiment_Plan!S6), Dosing_Plans!$B$6:$B$389, 0), 0))</f>
        <v>0.00003</v>
      </c>
      <c r="T11" s="2" t="str">
        <f>_xlfn.TEXTJOIN(" ", TRUE, INDEX(Dosing_Plans!$C$6:$F$389, MATCH(_xlfn.CONCAT(Experiment_Plan!$G$11, Experiment_Plan!T6), Dosing_Plans!$B$6:$B$389, 0), 0))</f>
        <v>0.00001</v>
      </c>
      <c r="U11" s="2" t="str">
        <f>_xlfn.TEXTJOIN(" ", TRUE, INDEX(Dosing_Plans!$C$6:$F$389, MATCH(_xlfn.CONCAT(Experiment_Plan!$G$11, Experiment_Plan!U6), Dosing_Plans!$B$6:$B$389, 0), 0))</f>
        <v>0.00001</v>
      </c>
      <c r="V11" s="2" t="str">
        <f>_xlfn.TEXTJOIN(" ", TRUE, INDEX(Dosing_Plans!$C$6:$F$389, MATCH(_xlfn.CONCAT(Experiment_Plan!$G$11, Experiment_Plan!V6), Dosing_Plans!$B$6:$B$389, 0), 0))</f>
        <v>0.00001</v>
      </c>
      <c r="W11" s="2" t="str">
        <f>_xlfn.TEXTJOIN(" ", TRUE, INDEX(Dosing_Plans!$C$6:$F$389, MATCH(_xlfn.CONCAT(Experiment_Plan!$G$11, Experiment_Plan!W6), Dosing_Plans!$B$6:$B$389, 0), 0))</f>
        <v>0.00001</v>
      </c>
      <c r="X11" s="2" t="str">
        <f>_xlfn.TEXTJOIN(" ", TRUE, INDEX(Dosing_Plans!$C$6:$F$389, MATCH(_xlfn.CONCAT(Experiment_Plan!$G$11, Experiment_Plan!X6), Dosing_Plans!$B$6:$B$389, 0), 0))</f>
        <v>0.00001</v>
      </c>
      <c r="Y11" s="2" t="str">
        <f>_xlfn.TEXTJOIN(" ", TRUE, INDEX(Dosing_Plans!$C$6:$F$389, MATCH(_xlfn.CONCAT(Experiment_Plan!$G$11, Experiment_Plan!Y6), Dosing_Plans!$B$6:$B$389, 0), 0))</f>
        <v>0.00001</v>
      </c>
      <c r="Z11" s="2" t="str">
        <f>_xlfn.TEXTJOIN(" ", TRUE, INDEX(Dosing_Plans!$C$6:$F$389, MATCH(_xlfn.CONCAT(Experiment_Plan!$G$11, Experiment_Plan!Z6), Dosing_Plans!$B$6:$B$389, 0), 0))</f>
        <v>0.00001</v>
      </c>
      <c r="AA11" s="2" t="str">
        <f>_xlfn.TEXTJOIN(" ", TRUE, INDEX(Dosing_Plans!$C$6:$F$389, MATCH(_xlfn.CONCAT(Experiment_Plan!$G$11, Experiment_Plan!AA6), Dosing_Plans!$B$6:$B$389, 0), 0))</f>
        <v>0.00001</v>
      </c>
      <c r="AB11" s="2" t="str">
        <f>_xlfn.TEXTJOIN(" ", TRUE, INDEX(Dosing_Plans!$C$6:$F$389, MATCH(_xlfn.CONCAT(Experiment_Plan!$G$11, Experiment_Plan!AB6), Dosing_Plans!$B$6:$B$389, 0), 0))</f>
        <v>0.00001</v>
      </c>
      <c r="AC11" s="2" t="str">
        <f>_xlfn.TEXTJOIN(" ", TRUE, INDEX(Dosing_Plans!$C$6:$F$389, MATCH(_xlfn.CONCAT(Experiment_Plan!$G$11, Experiment_Plan!AC6), Dosing_Plans!$B$6:$B$389, 0), 0))</f>
        <v>0.00001</v>
      </c>
      <c r="AD11" s="2" t="str">
        <f>_xlfn.TEXTJOIN(" ", TRUE, INDEX(Dosing_Plans!$C$6:$F$389, MATCH(_xlfn.CONCAT(Experiment_Plan!$G$11, Experiment_Plan!AD6), Dosing_Plans!$B$6:$B$389, 0), 0))</f>
        <v>0.00001</v>
      </c>
      <c r="AE11" s="11" t="str">
        <f>_xlfn.TEXTJOIN(" ", TRUE, INDEX(Dosing_Plans!$C$6:$F$389, MATCH(_xlfn.CONCAT(Experiment_Plan!$G$11, Experiment_Plan!AE6), Dosing_Plans!$B$6:$B$389, 0), 0))</f>
        <v>0.00001</v>
      </c>
    </row>
    <row r="12" spans="4:31" x14ac:dyDescent="0.2">
      <c r="G12" s="2" t="s">
        <v>5</v>
      </c>
      <c r="H12" s="10" t="str">
        <f>_xlfn.TEXTJOIN(" ", TRUE, INDEX(Dosing_Plans!$C$6:$F$389, MATCH(_xlfn.CONCAT(Experiment_Plan!$G$12, Experiment_Plan!H6), Dosing_Plans!$B$6:$B$389, 0), 0))</f>
        <v>10</v>
      </c>
      <c r="I12" s="2" t="str">
        <f>_xlfn.TEXTJOIN(" ", TRUE, INDEX(Dosing_Plans!$C$6:$F$389, MATCH(_xlfn.CONCAT(Experiment_Plan!$G$12, Experiment_Plan!I6), Dosing_Plans!$B$6:$B$389, 0), 0))</f>
        <v>3.16</v>
      </c>
      <c r="J12" s="2" t="str">
        <f>_xlfn.TEXTJOIN(" ", TRUE, INDEX(Dosing_Plans!$C$6:$F$389, MATCH(_xlfn.CONCAT(Experiment_Plan!$G$12, Experiment_Plan!J6), Dosing_Plans!$B$6:$B$389, 0), 0))</f>
        <v>1</v>
      </c>
      <c r="K12" s="2" t="str">
        <f>_xlfn.TEXTJOIN(" ", TRUE, INDEX(Dosing_Plans!$C$6:$F$389, MATCH(_xlfn.CONCAT(Experiment_Plan!$G$12, Experiment_Plan!K6), Dosing_Plans!$B$6:$B$389, 0), 0))</f>
        <v>0.3</v>
      </c>
      <c r="L12" s="2" t="str">
        <f>_xlfn.TEXTJOIN(" ", TRUE, INDEX(Dosing_Plans!$C$6:$F$389, MATCH(_xlfn.CONCAT(Experiment_Plan!$G$12, Experiment_Plan!L6), Dosing_Plans!$B$6:$B$389, 0), 0))</f>
        <v>0.1</v>
      </c>
      <c r="M12" s="2" t="str">
        <f>_xlfn.TEXTJOIN(" ", TRUE, INDEX(Dosing_Plans!$C$6:$F$389, MATCH(_xlfn.CONCAT(Experiment_Plan!$G$12, Experiment_Plan!M6), Dosing_Plans!$B$6:$B$389, 0), 0))</f>
        <v>0.03</v>
      </c>
      <c r="N12" s="2" t="str">
        <f>_xlfn.TEXTJOIN(" ", TRUE, INDEX(Dosing_Plans!$C$6:$F$389, MATCH(_xlfn.CONCAT(Experiment_Plan!$G$12, Experiment_Plan!N6), Dosing_Plans!$B$6:$B$389, 0), 0))</f>
        <v>0.01</v>
      </c>
      <c r="O12" s="2" t="str">
        <f>_xlfn.TEXTJOIN(" ", TRUE, INDEX(Dosing_Plans!$C$6:$F$389, MATCH(_xlfn.CONCAT(Experiment_Plan!$G$12, Experiment_Plan!O6), Dosing_Plans!$B$6:$B$389, 0), 0))</f>
        <v>0.003</v>
      </c>
      <c r="P12" s="2" t="str">
        <f>_xlfn.TEXTJOIN(" ", TRUE, INDEX(Dosing_Plans!$C$6:$F$389, MATCH(_xlfn.CONCAT(Experiment_Plan!$G$12, Experiment_Plan!P6), Dosing_Plans!$B$6:$B$389, 0), 0))</f>
        <v>0.001</v>
      </c>
      <c r="Q12" s="2" t="str">
        <f>_xlfn.TEXTJOIN(" ", TRUE, INDEX(Dosing_Plans!$C$6:$F$389, MATCH(_xlfn.CONCAT(Experiment_Plan!$G$12, Experiment_Plan!Q6), Dosing_Plans!$B$6:$B$389, 0), 0))</f>
        <v>0.0003</v>
      </c>
      <c r="R12" s="2" t="str">
        <f>_xlfn.TEXTJOIN(" ", TRUE, INDEX(Dosing_Plans!$C$6:$F$389, MATCH(_xlfn.CONCAT(Experiment_Plan!$G$12, Experiment_Plan!R6), Dosing_Plans!$B$6:$B$389, 0), 0))</f>
        <v>0.0001</v>
      </c>
      <c r="S12" s="2" t="str">
        <f>_xlfn.TEXTJOIN(" ", TRUE, INDEX(Dosing_Plans!$C$6:$F$389, MATCH(_xlfn.CONCAT(Experiment_Plan!$G$12, Experiment_Plan!S6), Dosing_Plans!$B$6:$B$389, 0), 0))</f>
        <v>0.00003</v>
      </c>
      <c r="T12" s="2" t="str">
        <f>_xlfn.TEXTJOIN(" ", TRUE, INDEX(Dosing_Plans!$C$6:$F$389, MATCH(_xlfn.CONCAT(Experiment_Plan!$G$12, Experiment_Plan!T6), Dosing_Plans!$B$6:$B$389, 0), 0))</f>
        <v>0.00001</v>
      </c>
      <c r="U12" s="2" t="str">
        <f>_xlfn.TEXTJOIN(" ", TRUE, INDEX(Dosing_Plans!$C$6:$F$389, MATCH(_xlfn.CONCAT(Experiment_Plan!$G$12, Experiment_Plan!U6), Dosing_Plans!$B$6:$B$389, 0), 0))</f>
        <v>0.00001</v>
      </c>
      <c r="V12" s="2" t="str">
        <f>_xlfn.TEXTJOIN(" ", TRUE, INDEX(Dosing_Plans!$C$6:$F$389, MATCH(_xlfn.CONCAT(Experiment_Plan!$G$12, Experiment_Plan!V6), Dosing_Plans!$B$6:$B$389, 0), 0))</f>
        <v>0.00001</v>
      </c>
      <c r="W12" s="2" t="str">
        <f>_xlfn.TEXTJOIN(" ", TRUE, INDEX(Dosing_Plans!$C$6:$F$389, MATCH(_xlfn.CONCAT(Experiment_Plan!$G$12, Experiment_Plan!W6), Dosing_Plans!$B$6:$B$389, 0), 0))</f>
        <v>0.00001</v>
      </c>
      <c r="X12" s="2" t="str">
        <f>_xlfn.TEXTJOIN(" ", TRUE, INDEX(Dosing_Plans!$C$6:$F$389, MATCH(_xlfn.CONCAT(Experiment_Plan!$G$12, Experiment_Plan!X6), Dosing_Plans!$B$6:$B$389, 0), 0))</f>
        <v>0.00001</v>
      </c>
      <c r="Y12" s="2" t="str">
        <f>_xlfn.TEXTJOIN(" ", TRUE, INDEX(Dosing_Plans!$C$6:$F$389, MATCH(_xlfn.CONCAT(Experiment_Plan!$G$12, Experiment_Plan!Y6), Dosing_Plans!$B$6:$B$389, 0), 0))</f>
        <v>0.00001</v>
      </c>
      <c r="Z12" s="2" t="str">
        <f>_xlfn.TEXTJOIN(" ", TRUE, INDEX(Dosing_Plans!$C$6:$F$389, MATCH(_xlfn.CONCAT(Experiment_Plan!$G$12, Experiment_Plan!Z6), Dosing_Plans!$B$6:$B$389, 0), 0))</f>
        <v>0.00001</v>
      </c>
      <c r="AA12" s="2" t="str">
        <f>_xlfn.TEXTJOIN(" ", TRUE, INDEX(Dosing_Plans!$C$6:$F$389, MATCH(_xlfn.CONCAT(Experiment_Plan!$G$12, Experiment_Plan!AA6), Dosing_Plans!$B$6:$B$389, 0), 0))</f>
        <v>0.00001</v>
      </c>
      <c r="AB12" s="2" t="str">
        <f>_xlfn.TEXTJOIN(" ", TRUE, INDEX(Dosing_Plans!$C$6:$F$389, MATCH(_xlfn.CONCAT(Experiment_Plan!$G$12, Experiment_Plan!AB6), Dosing_Plans!$B$6:$B$389, 0), 0))</f>
        <v>0.00001</v>
      </c>
      <c r="AC12" s="2" t="str">
        <f>_xlfn.TEXTJOIN(" ", TRUE, INDEX(Dosing_Plans!$C$6:$F$389, MATCH(_xlfn.CONCAT(Experiment_Plan!$G$12, Experiment_Plan!AC6), Dosing_Plans!$B$6:$B$389, 0), 0))</f>
        <v>0.00001</v>
      </c>
      <c r="AD12" s="2" t="str">
        <f>_xlfn.TEXTJOIN(" ", TRUE, INDEX(Dosing_Plans!$C$6:$F$389, MATCH(_xlfn.CONCAT(Experiment_Plan!$G$12, Experiment_Plan!AD6), Dosing_Plans!$B$6:$B$389, 0), 0))</f>
        <v>0.00001</v>
      </c>
      <c r="AE12" s="11" t="str">
        <f>_xlfn.TEXTJOIN(" ", TRUE, INDEX(Dosing_Plans!$C$6:$F$389, MATCH(_xlfn.CONCAT(Experiment_Plan!$G$12, Experiment_Plan!AE6), Dosing_Plans!$B$6:$B$389, 0), 0))</f>
        <v>0.00001</v>
      </c>
    </row>
    <row r="13" spans="4:31" x14ac:dyDescent="0.2">
      <c r="G13" s="2" t="s">
        <v>6</v>
      </c>
      <c r="H13" s="10" t="str">
        <f>_xlfn.TEXTJOIN(" ", TRUE, INDEX(Dosing_Plans!$C$6:$F$389, MATCH(_xlfn.CONCAT(Experiment_Plan!$G$13, Experiment_Plan!H6), Dosing_Plans!$B$6:$B$389, 0), 0))</f>
        <v>10</v>
      </c>
      <c r="I13" s="2" t="str">
        <f>_xlfn.TEXTJOIN(" ", TRUE, INDEX(Dosing_Plans!$C$6:$F$389, MATCH(_xlfn.CONCAT(Experiment_Plan!$G$13, Experiment_Plan!I6), Dosing_Plans!$B$6:$B$389, 0), 0))</f>
        <v>3.16</v>
      </c>
      <c r="J13" s="2" t="str">
        <f>_xlfn.TEXTJOIN(" ", TRUE, INDEX(Dosing_Plans!$C$6:$F$389, MATCH(_xlfn.CONCAT(Experiment_Plan!$G$13, Experiment_Plan!J6), Dosing_Plans!$B$6:$B$389, 0), 0))</f>
        <v>1</v>
      </c>
      <c r="K13" s="2" t="str">
        <f>_xlfn.TEXTJOIN(" ", TRUE, INDEX(Dosing_Plans!$C$6:$F$389, MATCH(_xlfn.CONCAT(Experiment_Plan!$G$13, Experiment_Plan!K6), Dosing_Plans!$B$6:$B$389, 0), 0))</f>
        <v>0.3</v>
      </c>
      <c r="L13" s="2" t="str">
        <f>_xlfn.TEXTJOIN(" ", TRUE, INDEX(Dosing_Plans!$C$6:$F$389, MATCH(_xlfn.CONCAT(Experiment_Plan!$G$13, Experiment_Plan!L6), Dosing_Plans!$B$6:$B$389, 0), 0))</f>
        <v>0.1</v>
      </c>
      <c r="M13" s="2" t="str">
        <f>_xlfn.TEXTJOIN(" ", TRUE, INDEX(Dosing_Plans!$C$6:$F$389, MATCH(_xlfn.CONCAT(Experiment_Plan!$G$13, Experiment_Plan!M6), Dosing_Plans!$B$6:$B$389, 0), 0))</f>
        <v>0.03</v>
      </c>
      <c r="N13" s="2" t="str">
        <f>_xlfn.TEXTJOIN(" ", TRUE, INDEX(Dosing_Plans!$C$6:$F$389, MATCH(_xlfn.CONCAT(Experiment_Plan!$G$13, Experiment_Plan!N6), Dosing_Plans!$B$6:$B$389, 0), 0))</f>
        <v>0.01</v>
      </c>
      <c r="O13" s="2" t="str">
        <f>_xlfn.TEXTJOIN(" ", TRUE, INDEX(Dosing_Plans!$C$6:$F$389, MATCH(_xlfn.CONCAT(Experiment_Plan!$G$13, Experiment_Plan!O6), Dosing_Plans!$B$6:$B$389, 0), 0))</f>
        <v>0.003</v>
      </c>
      <c r="P13" s="2" t="str">
        <f>_xlfn.TEXTJOIN(" ", TRUE, INDEX(Dosing_Plans!$C$6:$F$389, MATCH(_xlfn.CONCAT(Experiment_Plan!$G$13, Experiment_Plan!P6), Dosing_Plans!$B$6:$B$389, 0), 0))</f>
        <v>0.001</v>
      </c>
      <c r="Q13" s="2" t="str">
        <f>_xlfn.TEXTJOIN(" ", TRUE, INDEX(Dosing_Plans!$C$6:$F$389, MATCH(_xlfn.CONCAT(Experiment_Plan!$G$13, Experiment_Plan!Q6), Dosing_Plans!$B$6:$B$389, 0), 0))</f>
        <v>0.0003</v>
      </c>
      <c r="R13" s="2" t="str">
        <f>_xlfn.TEXTJOIN(" ", TRUE, INDEX(Dosing_Plans!$C$6:$F$389, MATCH(_xlfn.CONCAT(Experiment_Plan!$G$13, Experiment_Plan!R6), Dosing_Plans!$B$6:$B$389, 0), 0))</f>
        <v>0.0001</v>
      </c>
      <c r="S13" s="2" t="str">
        <f>_xlfn.TEXTJOIN(" ", TRUE, INDEX(Dosing_Plans!$C$6:$F$389, MATCH(_xlfn.CONCAT(Experiment_Plan!$G$13, Experiment_Plan!S6), Dosing_Plans!$B$6:$B$389, 0), 0))</f>
        <v>0.00003</v>
      </c>
      <c r="T13" s="2" t="str">
        <f>_xlfn.TEXTJOIN(" ", TRUE, INDEX(Dosing_Plans!$C$6:$F$389, MATCH(_xlfn.CONCAT(Experiment_Plan!$G$13, Experiment_Plan!T6), Dosing_Plans!$B$6:$B$389, 0), 0))</f>
        <v>0.00001</v>
      </c>
      <c r="U13" s="2" t="str">
        <f>_xlfn.TEXTJOIN(" ", TRUE, INDEX(Dosing_Plans!$C$6:$F$389, MATCH(_xlfn.CONCAT(Experiment_Plan!$G$13, Experiment_Plan!U6), Dosing_Plans!$B$6:$B$389, 0), 0))</f>
        <v>0.00001</v>
      </c>
      <c r="V13" s="2" t="str">
        <f>_xlfn.TEXTJOIN(" ", TRUE, INDEX(Dosing_Plans!$C$6:$F$389, MATCH(_xlfn.CONCAT(Experiment_Plan!$G$13, Experiment_Plan!V6), Dosing_Plans!$B$6:$B$389, 0), 0))</f>
        <v>0.00001</v>
      </c>
      <c r="W13" s="2" t="str">
        <f>_xlfn.TEXTJOIN(" ", TRUE, INDEX(Dosing_Plans!$C$6:$F$389, MATCH(_xlfn.CONCAT(Experiment_Plan!$G$13, Experiment_Plan!W6), Dosing_Plans!$B$6:$B$389, 0), 0))</f>
        <v>0.00001</v>
      </c>
      <c r="X13" s="2" t="str">
        <f>_xlfn.TEXTJOIN(" ", TRUE, INDEX(Dosing_Plans!$C$6:$F$389, MATCH(_xlfn.CONCAT(Experiment_Plan!$G$13, Experiment_Plan!X6), Dosing_Plans!$B$6:$B$389, 0), 0))</f>
        <v>0.00001</v>
      </c>
      <c r="Y13" s="2" t="str">
        <f>_xlfn.TEXTJOIN(" ", TRUE, INDEX(Dosing_Plans!$C$6:$F$389, MATCH(_xlfn.CONCAT(Experiment_Plan!$G$13, Experiment_Plan!Y6), Dosing_Plans!$B$6:$B$389, 0), 0))</f>
        <v>0.00001</v>
      </c>
      <c r="Z13" s="2" t="str">
        <f>_xlfn.TEXTJOIN(" ", TRUE, INDEX(Dosing_Plans!$C$6:$F$389, MATCH(_xlfn.CONCAT(Experiment_Plan!$G$13, Experiment_Plan!Z6), Dosing_Plans!$B$6:$B$389, 0), 0))</f>
        <v>0.00001</v>
      </c>
      <c r="AA13" s="2" t="str">
        <f>_xlfn.TEXTJOIN(" ", TRUE, INDEX(Dosing_Plans!$C$6:$F$389, MATCH(_xlfn.CONCAT(Experiment_Plan!$G$13, Experiment_Plan!AA6), Dosing_Plans!$B$6:$B$389, 0), 0))</f>
        <v>0.00001</v>
      </c>
      <c r="AB13" s="2" t="str">
        <f>_xlfn.TEXTJOIN(" ", TRUE, INDEX(Dosing_Plans!$C$6:$F$389, MATCH(_xlfn.CONCAT(Experiment_Plan!$G$13, Experiment_Plan!AB6), Dosing_Plans!$B$6:$B$389, 0), 0))</f>
        <v>0.00001</v>
      </c>
      <c r="AC13" s="2" t="str">
        <f>_xlfn.TEXTJOIN(" ", TRUE, INDEX(Dosing_Plans!$C$6:$F$389, MATCH(_xlfn.CONCAT(Experiment_Plan!$G$13, Experiment_Plan!AC6), Dosing_Plans!$B$6:$B$389, 0), 0))</f>
        <v>0.00001</v>
      </c>
      <c r="AD13" s="2" t="str">
        <f>_xlfn.TEXTJOIN(" ", TRUE, INDEX(Dosing_Plans!$C$6:$F$389, MATCH(_xlfn.CONCAT(Experiment_Plan!$G$13, Experiment_Plan!AD6), Dosing_Plans!$B$6:$B$389, 0), 0))</f>
        <v>0.00001</v>
      </c>
      <c r="AE13" s="11" t="str">
        <f>_xlfn.TEXTJOIN(" ", TRUE, INDEX(Dosing_Plans!$C$6:$F$389, MATCH(_xlfn.CONCAT(Experiment_Plan!$G$13, Experiment_Plan!AE6), Dosing_Plans!$B$6:$B$389, 0), 0))</f>
        <v>0.00001</v>
      </c>
    </row>
    <row r="14" spans="4:31" x14ac:dyDescent="0.2">
      <c r="G14" s="2" t="s">
        <v>7</v>
      </c>
      <c r="H14" s="10" t="str">
        <f>_xlfn.TEXTJOIN(" ", TRUE, INDEX(Dosing_Plans!$C$6:$F$389, MATCH(_xlfn.CONCAT(Experiment_Plan!$G$14, Experiment_Plan!H6), Dosing_Plans!$B$6:$B$389, 0), 0))</f>
        <v>10</v>
      </c>
      <c r="I14" s="2" t="str">
        <f>_xlfn.TEXTJOIN(" ", TRUE, INDEX(Dosing_Plans!$C$6:$F$389, MATCH(_xlfn.CONCAT(Experiment_Plan!$G$14, Experiment_Plan!I6), Dosing_Plans!$B$6:$B$389, 0), 0))</f>
        <v>3.16</v>
      </c>
      <c r="J14" s="2" t="str">
        <f>_xlfn.TEXTJOIN(" ", TRUE, INDEX(Dosing_Plans!$C$6:$F$389, MATCH(_xlfn.CONCAT(Experiment_Plan!$G$14, Experiment_Plan!J6), Dosing_Plans!$B$6:$B$389, 0), 0))</f>
        <v>1</v>
      </c>
      <c r="K14" s="2" t="str">
        <f>_xlfn.TEXTJOIN(" ", TRUE, INDEX(Dosing_Plans!$C$6:$F$389, MATCH(_xlfn.CONCAT(Experiment_Plan!$G$14, Experiment_Plan!K6), Dosing_Plans!$B$6:$B$389, 0), 0))</f>
        <v>0.3</v>
      </c>
      <c r="L14" s="2" t="str">
        <f>_xlfn.TEXTJOIN(" ", TRUE, INDEX(Dosing_Plans!$C$6:$F$389, MATCH(_xlfn.CONCAT(Experiment_Plan!$G$14, Experiment_Plan!L6), Dosing_Plans!$B$6:$B$389, 0), 0))</f>
        <v>0.1</v>
      </c>
      <c r="M14" s="2" t="str">
        <f>_xlfn.TEXTJOIN(" ", TRUE, INDEX(Dosing_Plans!$C$6:$F$389, MATCH(_xlfn.CONCAT(Experiment_Plan!$G$14, Experiment_Plan!M6), Dosing_Plans!$B$6:$B$389, 0), 0))</f>
        <v>0.03</v>
      </c>
      <c r="N14" s="2" t="str">
        <f>_xlfn.TEXTJOIN(" ", TRUE, INDEX(Dosing_Plans!$C$6:$F$389, MATCH(_xlfn.CONCAT(Experiment_Plan!$G$14, Experiment_Plan!N6), Dosing_Plans!$B$6:$B$389, 0), 0))</f>
        <v>0.01</v>
      </c>
      <c r="O14" s="2" t="str">
        <f>_xlfn.TEXTJOIN(" ", TRUE, INDEX(Dosing_Plans!$C$6:$F$389, MATCH(_xlfn.CONCAT(Experiment_Plan!$G$14, Experiment_Plan!O6), Dosing_Plans!$B$6:$B$389, 0), 0))</f>
        <v>0.003</v>
      </c>
      <c r="P14" s="2" t="str">
        <f>_xlfn.TEXTJOIN(" ", TRUE, INDEX(Dosing_Plans!$C$6:$F$389, MATCH(_xlfn.CONCAT(Experiment_Plan!$G$14, Experiment_Plan!P6), Dosing_Plans!$B$6:$B$389, 0), 0))</f>
        <v>0.001</v>
      </c>
      <c r="Q14" s="2" t="str">
        <f>_xlfn.TEXTJOIN(" ", TRUE, INDEX(Dosing_Plans!$C$6:$F$389, MATCH(_xlfn.CONCAT(Experiment_Plan!$G$14, Experiment_Plan!Q6), Dosing_Plans!$B$6:$B$389, 0), 0))</f>
        <v>0.0003</v>
      </c>
      <c r="R14" s="2" t="str">
        <f>_xlfn.TEXTJOIN(" ", TRUE, INDEX(Dosing_Plans!$C$6:$F$389, MATCH(_xlfn.CONCAT(Experiment_Plan!$G$14, Experiment_Plan!R6), Dosing_Plans!$B$6:$B$389, 0), 0))</f>
        <v>0.0001</v>
      </c>
      <c r="S14" s="2" t="str">
        <f>_xlfn.TEXTJOIN(" ", TRUE, INDEX(Dosing_Plans!$C$6:$F$389, MATCH(_xlfn.CONCAT(Experiment_Plan!$G$14, Experiment_Plan!S6), Dosing_Plans!$B$6:$B$389, 0), 0))</f>
        <v>0.00003</v>
      </c>
      <c r="T14" s="2" t="str">
        <f>_xlfn.TEXTJOIN(" ", TRUE, INDEX(Dosing_Plans!$C$6:$F$389, MATCH(_xlfn.CONCAT(Experiment_Plan!$G$14, Experiment_Plan!T6), Dosing_Plans!$B$6:$B$389, 0), 0))</f>
        <v>0.00001</v>
      </c>
      <c r="U14" s="2" t="str">
        <f>_xlfn.TEXTJOIN(" ", TRUE, INDEX(Dosing_Plans!$C$6:$F$389, MATCH(_xlfn.CONCAT(Experiment_Plan!$G$14, Experiment_Plan!U6), Dosing_Plans!$B$6:$B$389, 0), 0))</f>
        <v>0.00001</v>
      </c>
      <c r="V14" s="2" t="str">
        <f>_xlfn.TEXTJOIN(" ", TRUE, INDEX(Dosing_Plans!$C$6:$F$389, MATCH(_xlfn.CONCAT(Experiment_Plan!$G$14, Experiment_Plan!V6), Dosing_Plans!$B$6:$B$389, 0), 0))</f>
        <v>0.00001</v>
      </c>
      <c r="W14" s="2" t="str">
        <f>_xlfn.TEXTJOIN(" ", TRUE, INDEX(Dosing_Plans!$C$6:$F$389, MATCH(_xlfn.CONCAT(Experiment_Plan!$G$14, Experiment_Plan!W6), Dosing_Plans!$B$6:$B$389, 0), 0))</f>
        <v>0.00001</v>
      </c>
      <c r="X14" s="2" t="str">
        <f>_xlfn.TEXTJOIN(" ", TRUE, INDEX(Dosing_Plans!$C$6:$F$389, MATCH(_xlfn.CONCAT(Experiment_Plan!$G$14, Experiment_Plan!X6), Dosing_Plans!$B$6:$B$389, 0), 0))</f>
        <v>0.00001</v>
      </c>
      <c r="Y14" s="2" t="str">
        <f>_xlfn.TEXTJOIN(" ", TRUE, INDEX(Dosing_Plans!$C$6:$F$389, MATCH(_xlfn.CONCAT(Experiment_Plan!$G$14, Experiment_Plan!Y6), Dosing_Plans!$B$6:$B$389, 0), 0))</f>
        <v>0.00001</v>
      </c>
      <c r="Z14" s="2" t="str">
        <f>_xlfn.TEXTJOIN(" ", TRUE, INDEX(Dosing_Plans!$C$6:$F$389, MATCH(_xlfn.CONCAT(Experiment_Plan!$G$14, Experiment_Plan!Z6), Dosing_Plans!$B$6:$B$389, 0), 0))</f>
        <v>0.00001</v>
      </c>
      <c r="AA14" s="2" t="str">
        <f>_xlfn.TEXTJOIN(" ", TRUE, INDEX(Dosing_Plans!$C$6:$F$389, MATCH(_xlfn.CONCAT(Experiment_Plan!$G$14, Experiment_Plan!AA6), Dosing_Plans!$B$6:$B$389, 0), 0))</f>
        <v>0.00001</v>
      </c>
      <c r="AB14" s="2" t="str">
        <f>_xlfn.TEXTJOIN(" ", TRUE, INDEX(Dosing_Plans!$C$6:$F$389, MATCH(_xlfn.CONCAT(Experiment_Plan!$G$14, Experiment_Plan!AB6), Dosing_Plans!$B$6:$B$389, 0), 0))</f>
        <v>0.00001</v>
      </c>
      <c r="AC14" s="2" t="str">
        <f>_xlfn.TEXTJOIN(" ", TRUE, INDEX(Dosing_Plans!$C$6:$F$389, MATCH(_xlfn.CONCAT(Experiment_Plan!$G$14, Experiment_Plan!AC6), Dosing_Plans!$B$6:$B$389, 0), 0))</f>
        <v>0.00001</v>
      </c>
      <c r="AD14" s="2" t="str">
        <f>_xlfn.TEXTJOIN(" ", TRUE, INDEX(Dosing_Plans!$C$6:$F$389, MATCH(_xlfn.CONCAT(Experiment_Plan!$G$14, Experiment_Plan!AD6), Dosing_Plans!$B$6:$B$389, 0), 0))</f>
        <v>0.00001</v>
      </c>
      <c r="AE14" s="11" t="str">
        <f>_xlfn.TEXTJOIN(" ", TRUE, INDEX(Dosing_Plans!$C$6:$F$389, MATCH(_xlfn.CONCAT(Experiment_Plan!$G$14, Experiment_Plan!AE6), Dosing_Plans!$B$6:$B$389, 0), 0))</f>
        <v>0.00001</v>
      </c>
    </row>
    <row r="15" spans="4:31" x14ac:dyDescent="0.2">
      <c r="G15" s="2" t="s">
        <v>8</v>
      </c>
      <c r="H15" s="10" t="str">
        <f>_xlfn.TEXTJOIN(" ", TRUE, INDEX(Dosing_Plans!$C$6:$F$389, MATCH(_xlfn.CONCAT(Experiment_Plan!$G$15, Experiment_Plan!H6), Dosing_Plans!$B$6:$B$389, 0), 0))</f>
        <v>10</v>
      </c>
      <c r="I15" s="2" t="str">
        <f>_xlfn.TEXTJOIN(" ", TRUE, INDEX(Dosing_Plans!$C$6:$F$389, MATCH(_xlfn.CONCAT(Experiment_Plan!$G$15, Experiment_Plan!I6), Dosing_Plans!$B$6:$B$389, 0), 0))</f>
        <v>3.16</v>
      </c>
      <c r="J15" s="2" t="str">
        <f>_xlfn.TEXTJOIN(" ", TRUE, INDEX(Dosing_Plans!$C$6:$F$389, MATCH(_xlfn.CONCAT(Experiment_Plan!$G$15, Experiment_Plan!J6), Dosing_Plans!$B$6:$B$389, 0), 0))</f>
        <v>1</v>
      </c>
      <c r="K15" s="2" t="str">
        <f>_xlfn.TEXTJOIN(" ", TRUE, INDEX(Dosing_Plans!$C$6:$F$389, MATCH(_xlfn.CONCAT(Experiment_Plan!$G$15, Experiment_Plan!K6), Dosing_Plans!$B$6:$B$389, 0), 0))</f>
        <v>0.3</v>
      </c>
      <c r="L15" s="2" t="str">
        <f>_xlfn.TEXTJOIN(" ", TRUE, INDEX(Dosing_Plans!$C$6:$F$389, MATCH(_xlfn.CONCAT(Experiment_Plan!$G$15, Experiment_Plan!L6), Dosing_Plans!$B$6:$B$389, 0), 0))</f>
        <v>0.1</v>
      </c>
      <c r="M15" s="2" t="str">
        <f>_xlfn.TEXTJOIN(" ", TRUE, INDEX(Dosing_Plans!$C$6:$F$389, MATCH(_xlfn.CONCAT(Experiment_Plan!$G$15, Experiment_Plan!M6), Dosing_Plans!$B$6:$B$389, 0), 0))</f>
        <v>0.03</v>
      </c>
      <c r="N15" s="2" t="str">
        <f>_xlfn.TEXTJOIN(" ", TRUE, INDEX(Dosing_Plans!$C$6:$F$389, MATCH(_xlfn.CONCAT(Experiment_Plan!$G$15, Experiment_Plan!N6), Dosing_Plans!$B$6:$B$389, 0), 0))</f>
        <v>0.01</v>
      </c>
      <c r="O15" s="2" t="str">
        <f>_xlfn.TEXTJOIN(" ", TRUE, INDEX(Dosing_Plans!$C$6:$F$389, MATCH(_xlfn.CONCAT(Experiment_Plan!$G$15, Experiment_Plan!O6), Dosing_Plans!$B$6:$B$389, 0), 0))</f>
        <v>0.003</v>
      </c>
      <c r="P15" s="2" t="str">
        <f>_xlfn.TEXTJOIN(" ", TRUE, INDEX(Dosing_Plans!$C$6:$F$389, MATCH(_xlfn.CONCAT(Experiment_Plan!$G$15, Experiment_Plan!P6), Dosing_Plans!$B$6:$B$389, 0), 0))</f>
        <v>0.001</v>
      </c>
      <c r="Q15" s="2" t="str">
        <f>_xlfn.TEXTJOIN(" ", TRUE, INDEX(Dosing_Plans!$C$6:$F$389, MATCH(_xlfn.CONCAT(Experiment_Plan!$G$15, Experiment_Plan!Q6), Dosing_Plans!$B$6:$B$389, 0), 0))</f>
        <v>0.0003</v>
      </c>
      <c r="R15" s="2" t="str">
        <f>_xlfn.TEXTJOIN(" ", TRUE, INDEX(Dosing_Plans!$C$6:$F$389, MATCH(_xlfn.CONCAT(Experiment_Plan!$G$15, Experiment_Plan!R6), Dosing_Plans!$B$6:$B$389, 0), 0))</f>
        <v>0.0001</v>
      </c>
      <c r="S15" s="2" t="str">
        <f>_xlfn.TEXTJOIN(" ", TRUE, INDEX(Dosing_Plans!$C$6:$F$389, MATCH(_xlfn.CONCAT(Experiment_Plan!$G$15, Experiment_Plan!S6), Dosing_Plans!$B$6:$B$389, 0), 0))</f>
        <v>0.00003</v>
      </c>
      <c r="T15" s="2" t="str">
        <f>_xlfn.TEXTJOIN(" ", TRUE, INDEX(Dosing_Plans!$C$6:$F$389, MATCH(_xlfn.CONCAT(Experiment_Plan!$G$15, Experiment_Plan!T6), Dosing_Plans!$B$6:$B$389, 0), 0))</f>
        <v>0.00001</v>
      </c>
      <c r="U15" s="2" t="str">
        <f>_xlfn.TEXTJOIN(" ", TRUE, INDEX(Dosing_Plans!$C$6:$F$389, MATCH(_xlfn.CONCAT(Experiment_Plan!$G$15, Experiment_Plan!U6), Dosing_Plans!$B$6:$B$389, 0), 0))</f>
        <v>0.00001</v>
      </c>
      <c r="V15" s="2" t="str">
        <f>_xlfn.TEXTJOIN(" ", TRUE, INDEX(Dosing_Plans!$C$6:$F$389, MATCH(_xlfn.CONCAT(Experiment_Plan!$G$15, Experiment_Plan!V6), Dosing_Plans!$B$6:$B$389, 0), 0))</f>
        <v>0.00001</v>
      </c>
      <c r="W15" s="2" t="str">
        <f>_xlfn.TEXTJOIN(" ", TRUE, INDEX(Dosing_Plans!$C$6:$F$389, MATCH(_xlfn.CONCAT(Experiment_Plan!$G$15, Experiment_Plan!W6), Dosing_Plans!$B$6:$B$389, 0), 0))</f>
        <v>0.00001</v>
      </c>
      <c r="X15" s="2" t="str">
        <f>_xlfn.TEXTJOIN(" ", TRUE, INDEX(Dosing_Plans!$C$6:$F$389, MATCH(_xlfn.CONCAT(Experiment_Plan!$G$15, Experiment_Plan!X6), Dosing_Plans!$B$6:$B$389, 0), 0))</f>
        <v>0.00001</v>
      </c>
      <c r="Y15" s="2" t="str">
        <f>_xlfn.TEXTJOIN(" ", TRUE, INDEX(Dosing_Plans!$C$6:$F$389, MATCH(_xlfn.CONCAT(Experiment_Plan!$G$15, Experiment_Plan!Y6), Dosing_Plans!$B$6:$B$389, 0), 0))</f>
        <v>0.00001</v>
      </c>
      <c r="Z15" s="2" t="str">
        <f>_xlfn.TEXTJOIN(" ", TRUE, INDEX(Dosing_Plans!$C$6:$F$389, MATCH(_xlfn.CONCAT(Experiment_Plan!$G$15, Experiment_Plan!Z6), Dosing_Plans!$B$6:$B$389, 0), 0))</f>
        <v>0.00001</v>
      </c>
      <c r="AA15" s="2" t="str">
        <f>_xlfn.TEXTJOIN(" ", TRUE, INDEX(Dosing_Plans!$C$6:$F$389, MATCH(_xlfn.CONCAT(Experiment_Plan!$G$15, Experiment_Plan!AA6), Dosing_Plans!$B$6:$B$389, 0), 0))</f>
        <v>0.00001</v>
      </c>
      <c r="AB15" s="2" t="str">
        <f>_xlfn.TEXTJOIN(" ", TRUE, INDEX(Dosing_Plans!$C$6:$F$389, MATCH(_xlfn.CONCAT(Experiment_Plan!$G$15, Experiment_Plan!AB6), Dosing_Plans!$B$6:$B$389, 0), 0))</f>
        <v>0.00001</v>
      </c>
      <c r="AC15" s="2" t="str">
        <f>_xlfn.TEXTJOIN(" ", TRUE, INDEX(Dosing_Plans!$C$6:$F$389, MATCH(_xlfn.CONCAT(Experiment_Plan!$G$15, Experiment_Plan!AC6), Dosing_Plans!$B$6:$B$389, 0), 0))</f>
        <v>0.00001</v>
      </c>
      <c r="AD15" s="2" t="str">
        <f>_xlfn.TEXTJOIN(" ", TRUE, INDEX(Dosing_Plans!$C$6:$F$389, MATCH(_xlfn.CONCAT(Experiment_Plan!$G$15, Experiment_Plan!AD6), Dosing_Plans!$B$6:$B$389, 0), 0))</f>
        <v>0.00001</v>
      </c>
      <c r="AE15" s="11" t="str">
        <f>_xlfn.TEXTJOIN(" ", TRUE, INDEX(Dosing_Plans!$C$6:$F$389, MATCH(_xlfn.CONCAT(Experiment_Plan!$G$15, Experiment_Plan!AE6), Dosing_Plans!$B$6:$B$389, 0), 0))</f>
        <v>0.00001</v>
      </c>
    </row>
    <row r="16" spans="4:31" x14ac:dyDescent="0.2">
      <c r="G16" s="2" t="s">
        <v>9</v>
      </c>
      <c r="H16" s="10" t="str">
        <f>_xlfn.TEXTJOIN(" ", TRUE, INDEX(Dosing_Plans!$C$6:$F$389, MATCH(_xlfn.CONCAT(Experiment_Plan!$G$16, Experiment_Plan!H6), Dosing_Plans!$B$6:$B$389, 0), 0))</f>
        <v>10</v>
      </c>
      <c r="I16" s="2" t="str">
        <f>_xlfn.TEXTJOIN(" ", TRUE, INDEX(Dosing_Plans!$C$6:$F$389, MATCH(_xlfn.CONCAT(Experiment_Plan!$G$16, Experiment_Plan!I6), Dosing_Plans!$B$6:$B$389, 0), 0))</f>
        <v>3.16</v>
      </c>
      <c r="J16" s="2" t="str">
        <f>_xlfn.TEXTJOIN(" ", TRUE, INDEX(Dosing_Plans!$C$6:$F$389, MATCH(_xlfn.CONCAT(Experiment_Plan!$G$16, Experiment_Plan!J6), Dosing_Plans!$B$6:$B$389, 0), 0))</f>
        <v>1</v>
      </c>
      <c r="K16" s="2" t="str">
        <f>_xlfn.TEXTJOIN(" ", TRUE, INDEX(Dosing_Plans!$C$6:$F$389, MATCH(_xlfn.CONCAT(Experiment_Plan!$G$16, Experiment_Plan!K6), Dosing_Plans!$B$6:$B$389, 0), 0))</f>
        <v>0.3</v>
      </c>
      <c r="L16" s="2" t="str">
        <f>_xlfn.TEXTJOIN(" ", TRUE, INDEX(Dosing_Plans!$C$6:$F$389, MATCH(_xlfn.CONCAT(Experiment_Plan!$G$16, Experiment_Plan!L6), Dosing_Plans!$B$6:$B$389, 0), 0))</f>
        <v>0.1</v>
      </c>
      <c r="M16" s="2" t="str">
        <f>_xlfn.TEXTJOIN(" ", TRUE, INDEX(Dosing_Plans!$C$6:$F$389, MATCH(_xlfn.CONCAT(Experiment_Plan!$G$16, Experiment_Plan!M6), Dosing_Plans!$B$6:$B$389, 0), 0))</f>
        <v>0.03</v>
      </c>
      <c r="N16" s="2" t="str">
        <f>_xlfn.TEXTJOIN(" ", TRUE, INDEX(Dosing_Plans!$C$6:$F$389, MATCH(_xlfn.CONCAT(Experiment_Plan!$G$16, Experiment_Plan!N6), Dosing_Plans!$B$6:$B$389, 0), 0))</f>
        <v>0.01</v>
      </c>
      <c r="O16" s="2" t="str">
        <f>_xlfn.TEXTJOIN(" ", TRUE, INDEX(Dosing_Plans!$C$6:$F$389, MATCH(_xlfn.CONCAT(Experiment_Plan!$G$16, Experiment_Plan!O6), Dosing_Plans!$B$6:$B$389, 0), 0))</f>
        <v>0.003</v>
      </c>
      <c r="P16" s="2" t="str">
        <f>_xlfn.TEXTJOIN(" ", TRUE, INDEX(Dosing_Plans!$C$6:$F$389, MATCH(_xlfn.CONCAT(Experiment_Plan!$G$16, Experiment_Plan!P6), Dosing_Plans!$B$6:$B$389, 0), 0))</f>
        <v>0.001</v>
      </c>
      <c r="Q16" s="2" t="str">
        <f>_xlfn.TEXTJOIN(" ", TRUE, INDEX(Dosing_Plans!$C$6:$F$389, MATCH(_xlfn.CONCAT(Experiment_Plan!$G$16, Experiment_Plan!Q6), Dosing_Plans!$B$6:$B$389, 0), 0))</f>
        <v>0.0003</v>
      </c>
      <c r="R16" s="2" t="str">
        <f>_xlfn.TEXTJOIN(" ", TRUE, INDEX(Dosing_Plans!$C$6:$F$389, MATCH(_xlfn.CONCAT(Experiment_Plan!$G$16, Experiment_Plan!R6), Dosing_Plans!$B$6:$B$389, 0), 0))</f>
        <v>0.0001</v>
      </c>
      <c r="S16" s="2" t="str">
        <f>_xlfn.TEXTJOIN(" ", TRUE, INDEX(Dosing_Plans!$C$6:$F$389, MATCH(_xlfn.CONCAT(Experiment_Plan!$G$16, Experiment_Plan!S6), Dosing_Plans!$B$6:$B$389, 0), 0))</f>
        <v>0.00003</v>
      </c>
      <c r="T16" s="2" t="str">
        <f>_xlfn.TEXTJOIN(" ", TRUE, INDEX(Dosing_Plans!$C$6:$F$389, MATCH(_xlfn.CONCAT(Experiment_Plan!$G$16, Experiment_Plan!T6), Dosing_Plans!$B$6:$B$389, 0), 0))</f>
        <v>0.00001</v>
      </c>
      <c r="U16" s="2" t="str">
        <f>_xlfn.TEXTJOIN(" ", TRUE, INDEX(Dosing_Plans!$C$6:$F$389, MATCH(_xlfn.CONCAT(Experiment_Plan!$G$16, Experiment_Plan!U6), Dosing_Plans!$B$6:$B$389, 0), 0))</f>
        <v>0.00001</v>
      </c>
      <c r="V16" s="2" t="str">
        <f>_xlfn.TEXTJOIN(" ", TRUE, INDEX(Dosing_Plans!$C$6:$F$389, MATCH(_xlfn.CONCAT(Experiment_Plan!$G$16, Experiment_Plan!V6), Dosing_Plans!$B$6:$B$389, 0), 0))</f>
        <v>0.00001</v>
      </c>
      <c r="W16" s="2" t="str">
        <f>_xlfn.TEXTJOIN(" ", TRUE, INDEX(Dosing_Plans!$C$6:$F$389, MATCH(_xlfn.CONCAT(Experiment_Plan!$G$16, Experiment_Plan!W6), Dosing_Plans!$B$6:$B$389, 0), 0))</f>
        <v>0.00001</v>
      </c>
      <c r="X16" s="2" t="str">
        <f>_xlfn.TEXTJOIN(" ", TRUE, INDEX(Dosing_Plans!$C$6:$F$389, MATCH(_xlfn.CONCAT(Experiment_Plan!$G$16, Experiment_Plan!X6), Dosing_Plans!$B$6:$B$389, 0), 0))</f>
        <v>0.00001</v>
      </c>
      <c r="Y16" s="2" t="str">
        <f>_xlfn.TEXTJOIN(" ", TRUE, INDEX(Dosing_Plans!$C$6:$F$389, MATCH(_xlfn.CONCAT(Experiment_Plan!$G$16, Experiment_Plan!Y6), Dosing_Plans!$B$6:$B$389, 0), 0))</f>
        <v>0.00001</v>
      </c>
      <c r="Z16" s="2" t="str">
        <f>_xlfn.TEXTJOIN(" ", TRUE, INDEX(Dosing_Plans!$C$6:$F$389, MATCH(_xlfn.CONCAT(Experiment_Plan!$G$16, Experiment_Plan!Z6), Dosing_Plans!$B$6:$B$389, 0), 0))</f>
        <v>0.00001</v>
      </c>
      <c r="AA16" s="2" t="str">
        <f>_xlfn.TEXTJOIN(" ", TRUE, INDEX(Dosing_Plans!$C$6:$F$389, MATCH(_xlfn.CONCAT(Experiment_Plan!$G$16, Experiment_Plan!AA6), Dosing_Plans!$B$6:$B$389, 0), 0))</f>
        <v>0.00001</v>
      </c>
      <c r="AB16" s="2" t="str">
        <f>_xlfn.TEXTJOIN(" ", TRUE, INDEX(Dosing_Plans!$C$6:$F$389, MATCH(_xlfn.CONCAT(Experiment_Plan!$G$16, Experiment_Plan!AB6), Dosing_Plans!$B$6:$B$389, 0), 0))</f>
        <v>0.00001</v>
      </c>
      <c r="AC16" s="2" t="str">
        <f>_xlfn.TEXTJOIN(" ", TRUE, INDEX(Dosing_Plans!$C$6:$F$389, MATCH(_xlfn.CONCAT(Experiment_Plan!$G$16, Experiment_Plan!AC6), Dosing_Plans!$B$6:$B$389, 0), 0))</f>
        <v>0.00001</v>
      </c>
      <c r="AD16" s="2" t="str">
        <f>_xlfn.TEXTJOIN(" ", TRUE, INDEX(Dosing_Plans!$C$6:$F$389, MATCH(_xlfn.CONCAT(Experiment_Plan!$G$16, Experiment_Plan!AD6), Dosing_Plans!$B$6:$B$389, 0), 0))</f>
        <v>0.00001</v>
      </c>
      <c r="AE16" s="11" t="str">
        <f>_xlfn.TEXTJOIN(" ", TRUE, INDEX(Dosing_Plans!$C$6:$F$389, MATCH(_xlfn.CONCAT(Experiment_Plan!$G$16, Experiment_Plan!AE6), Dosing_Plans!$B$6:$B$389, 0), 0))</f>
        <v>0.00001</v>
      </c>
    </row>
    <row r="17" spans="1:31" x14ac:dyDescent="0.2">
      <c r="G17" s="2" t="s">
        <v>10</v>
      </c>
      <c r="H17" s="10" t="str">
        <f>_xlfn.TEXTJOIN(" ", TRUE, INDEX(Dosing_Plans!$C$6:$F$389, MATCH(_xlfn.CONCAT(Experiment_Plan!$G$17, Experiment_Plan!H6), Dosing_Plans!$B$6:$B$389, 0), 0))</f>
        <v>10</v>
      </c>
      <c r="I17" s="2" t="str">
        <f>_xlfn.TEXTJOIN(" ", TRUE, INDEX(Dosing_Plans!$C$6:$F$389, MATCH(_xlfn.CONCAT(Experiment_Plan!$G$17, Experiment_Plan!I6), Dosing_Plans!$B$6:$B$389, 0), 0))</f>
        <v>3.16</v>
      </c>
      <c r="J17" s="2" t="str">
        <f>_xlfn.TEXTJOIN(" ", TRUE, INDEX(Dosing_Plans!$C$6:$F$389, MATCH(_xlfn.CONCAT(Experiment_Plan!$G$17, Experiment_Plan!J6), Dosing_Plans!$B$6:$B$389, 0), 0))</f>
        <v>1</v>
      </c>
      <c r="K17" s="2" t="str">
        <f>_xlfn.TEXTJOIN(" ", TRUE, INDEX(Dosing_Plans!$C$6:$F$389, MATCH(_xlfn.CONCAT(Experiment_Plan!$G$17, Experiment_Plan!K6), Dosing_Plans!$B$6:$B$389, 0), 0))</f>
        <v>0.3</v>
      </c>
      <c r="L17" s="2" t="str">
        <f>_xlfn.TEXTJOIN(" ", TRUE, INDEX(Dosing_Plans!$C$6:$F$389, MATCH(_xlfn.CONCAT(Experiment_Plan!$G$17, Experiment_Plan!L6), Dosing_Plans!$B$6:$B$389, 0), 0))</f>
        <v>0.1</v>
      </c>
      <c r="M17" s="2" t="str">
        <f>_xlfn.TEXTJOIN(" ", TRUE, INDEX(Dosing_Plans!$C$6:$F$389, MATCH(_xlfn.CONCAT(Experiment_Plan!$G$17, Experiment_Plan!M6), Dosing_Plans!$B$6:$B$389, 0), 0))</f>
        <v>0.03</v>
      </c>
      <c r="N17" s="2" t="str">
        <f>_xlfn.TEXTJOIN(" ", TRUE, INDEX(Dosing_Plans!$C$6:$F$389, MATCH(_xlfn.CONCAT(Experiment_Plan!$G$17, Experiment_Plan!N6), Dosing_Plans!$B$6:$B$389, 0), 0))</f>
        <v>0.01</v>
      </c>
      <c r="O17" s="2" t="str">
        <f>_xlfn.TEXTJOIN(" ", TRUE, INDEX(Dosing_Plans!$C$6:$F$389, MATCH(_xlfn.CONCAT(Experiment_Plan!$G$17, Experiment_Plan!O6), Dosing_Plans!$B$6:$B$389, 0), 0))</f>
        <v>0.003</v>
      </c>
      <c r="P17" s="2" t="str">
        <f>_xlfn.TEXTJOIN(" ", TRUE, INDEX(Dosing_Plans!$C$6:$F$389, MATCH(_xlfn.CONCAT(Experiment_Plan!$G$17, Experiment_Plan!P6), Dosing_Plans!$B$6:$B$389, 0), 0))</f>
        <v>0.001</v>
      </c>
      <c r="Q17" s="2" t="str">
        <f>_xlfn.TEXTJOIN(" ", TRUE, INDEX(Dosing_Plans!$C$6:$F$389, MATCH(_xlfn.CONCAT(Experiment_Plan!$G$17, Experiment_Plan!Q6), Dosing_Plans!$B$6:$B$389, 0), 0))</f>
        <v>0.0003</v>
      </c>
      <c r="R17" s="2" t="str">
        <f>_xlfn.TEXTJOIN(" ", TRUE, INDEX(Dosing_Plans!$C$6:$F$389, MATCH(_xlfn.CONCAT(Experiment_Plan!$G$17, Experiment_Plan!R6), Dosing_Plans!$B$6:$B$389, 0), 0))</f>
        <v>0.0001</v>
      </c>
      <c r="S17" s="2" t="str">
        <f>_xlfn.TEXTJOIN(" ", TRUE, INDEX(Dosing_Plans!$C$6:$F$389, MATCH(_xlfn.CONCAT(Experiment_Plan!$G$17, Experiment_Plan!S6), Dosing_Plans!$B$6:$B$389, 0), 0))</f>
        <v>0.00003</v>
      </c>
      <c r="T17" s="2" t="str">
        <f>_xlfn.TEXTJOIN(" ", TRUE, INDEX(Dosing_Plans!$C$6:$F$389, MATCH(_xlfn.CONCAT(Experiment_Plan!$G$17, Experiment_Plan!T6), Dosing_Plans!$B$6:$B$389, 0), 0))</f>
        <v>0.00001</v>
      </c>
      <c r="U17" s="2" t="str">
        <f>_xlfn.TEXTJOIN(" ", TRUE, INDEX(Dosing_Plans!$C$6:$F$389, MATCH(_xlfn.CONCAT(Experiment_Plan!$G$17, Experiment_Plan!U6), Dosing_Plans!$B$6:$B$389, 0), 0))</f>
        <v>0.00001</v>
      </c>
      <c r="V17" s="2" t="str">
        <f>_xlfn.TEXTJOIN(" ", TRUE, INDEX(Dosing_Plans!$C$6:$F$389, MATCH(_xlfn.CONCAT(Experiment_Plan!$G$17, Experiment_Plan!V6), Dosing_Plans!$B$6:$B$389, 0), 0))</f>
        <v>0.00001</v>
      </c>
      <c r="W17" s="2" t="str">
        <f>_xlfn.TEXTJOIN(" ", TRUE, INDEX(Dosing_Plans!$C$6:$F$389, MATCH(_xlfn.CONCAT(Experiment_Plan!$G$17, Experiment_Plan!W6), Dosing_Plans!$B$6:$B$389, 0), 0))</f>
        <v>0.00001</v>
      </c>
      <c r="X17" s="2" t="str">
        <f>_xlfn.TEXTJOIN(" ", TRUE, INDEX(Dosing_Plans!$C$6:$F$389, MATCH(_xlfn.CONCAT(Experiment_Plan!$G$17, Experiment_Plan!X6), Dosing_Plans!$B$6:$B$389, 0), 0))</f>
        <v>0.00001</v>
      </c>
      <c r="Y17" s="2" t="str">
        <f>_xlfn.TEXTJOIN(" ", TRUE, INDEX(Dosing_Plans!$C$6:$F$389, MATCH(_xlfn.CONCAT(Experiment_Plan!$G$17, Experiment_Plan!Y6), Dosing_Plans!$B$6:$B$389, 0), 0))</f>
        <v>0.00001</v>
      </c>
      <c r="Z17" s="2" t="str">
        <f>_xlfn.TEXTJOIN(" ", TRUE, INDEX(Dosing_Plans!$C$6:$F$389, MATCH(_xlfn.CONCAT(Experiment_Plan!$G$17, Experiment_Plan!Z6), Dosing_Plans!$B$6:$B$389, 0), 0))</f>
        <v>0.00001</v>
      </c>
      <c r="AA17" s="2" t="str">
        <f>_xlfn.TEXTJOIN(" ", TRUE, INDEX(Dosing_Plans!$C$6:$F$389, MATCH(_xlfn.CONCAT(Experiment_Plan!$G$17, Experiment_Plan!AA6), Dosing_Plans!$B$6:$B$389, 0), 0))</f>
        <v>0.00001</v>
      </c>
      <c r="AB17" s="2" t="str">
        <f>_xlfn.TEXTJOIN(" ", TRUE, INDEX(Dosing_Plans!$C$6:$F$389, MATCH(_xlfn.CONCAT(Experiment_Plan!$G$17, Experiment_Plan!AB6), Dosing_Plans!$B$6:$B$389, 0), 0))</f>
        <v>0.00001</v>
      </c>
      <c r="AC17" s="2" t="str">
        <f>_xlfn.TEXTJOIN(" ", TRUE, INDEX(Dosing_Plans!$C$6:$F$389, MATCH(_xlfn.CONCAT(Experiment_Plan!$G$17, Experiment_Plan!AC6), Dosing_Plans!$B$6:$B$389, 0), 0))</f>
        <v>0.00001</v>
      </c>
      <c r="AD17" s="2" t="str">
        <f>_xlfn.TEXTJOIN(" ", TRUE, INDEX(Dosing_Plans!$C$6:$F$389, MATCH(_xlfn.CONCAT(Experiment_Plan!$G$17, Experiment_Plan!AD6), Dosing_Plans!$B$6:$B$389, 0), 0))</f>
        <v>0.00001</v>
      </c>
      <c r="AE17" s="11" t="str">
        <f>_xlfn.TEXTJOIN(" ", TRUE, INDEX(Dosing_Plans!$C$6:$F$389, MATCH(_xlfn.CONCAT(Experiment_Plan!$G$17, Experiment_Plan!AE6), Dosing_Plans!$B$6:$B$389, 0), 0))</f>
        <v>0.00001</v>
      </c>
    </row>
    <row r="18" spans="1:31" x14ac:dyDescent="0.2">
      <c r="G18" s="2" t="s">
        <v>11</v>
      </c>
      <c r="H18" s="10" t="str">
        <f>_xlfn.TEXTJOIN(" ", TRUE, INDEX(Dosing_Plans!$C$6:$F$389, MATCH(_xlfn.CONCAT(Experiment_Plan!$G$18, Experiment_Plan!H6), Dosing_Plans!$B$6:$B$389, 0), 0))</f>
        <v>10</v>
      </c>
      <c r="I18" s="2" t="str">
        <f>_xlfn.TEXTJOIN(" ", TRUE, INDEX(Dosing_Plans!$C$6:$F$389, MATCH(_xlfn.CONCAT(Experiment_Plan!$G$18, Experiment_Plan!I6), Dosing_Plans!$B$6:$B$389, 0), 0))</f>
        <v>3.16</v>
      </c>
      <c r="J18" s="2" t="str">
        <f>_xlfn.TEXTJOIN(" ", TRUE, INDEX(Dosing_Plans!$C$6:$F$389, MATCH(_xlfn.CONCAT(Experiment_Plan!$G$18, Experiment_Plan!J6), Dosing_Plans!$B$6:$B$389, 0), 0))</f>
        <v>1</v>
      </c>
      <c r="K18" s="2" t="str">
        <f>_xlfn.TEXTJOIN(" ", TRUE, INDEX(Dosing_Plans!$C$6:$F$389, MATCH(_xlfn.CONCAT(Experiment_Plan!$G$18, Experiment_Plan!K6), Dosing_Plans!$B$6:$B$389, 0), 0))</f>
        <v>0.3</v>
      </c>
      <c r="L18" s="2" t="str">
        <f>_xlfn.TEXTJOIN(" ", TRUE, INDEX(Dosing_Plans!$C$6:$F$389, MATCH(_xlfn.CONCAT(Experiment_Plan!$G$18, Experiment_Plan!L6), Dosing_Plans!$B$6:$B$389, 0), 0))</f>
        <v>0.1</v>
      </c>
      <c r="M18" s="2" t="str">
        <f>_xlfn.TEXTJOIN(" ", TRUE, INDEX(Dosing_Plans!$C$6:$F$389, MATCH(_xlfn.CONCAT(Experiment_Plan!$G$18, Experiment_Plan!M6), Dosing_Plans!$B$6:$B$389, 0), 0))</f>
        <v>0.03</v>
      </c>
      <c r="N18" s="2" t="str">
        <f>_xlfn.TEXTJOIN(" ", TRUE, INDEX(Dosing_Plans!$C$6:$F$389, MATCH(_xlfn.CONCAT(Experiment_Plan!$G$18, Experiment_Plan!N6), Dosing_Plans!$B$6:$B$389, 0), 0))</f>
        <v>0.01</v>
      </c>
      <c r="O18" s="2" t="str">
        <f>_xlfn.TEXTJOIN(" ", TRUE, INDEX(Dosing_Plans!$C$6:$F$389, MATCH(_xlfn.CONCAT(Experiment_Plan!$G$18, Experiment_Plan!O6), Dosing_Plans!$B$6:$B$389, 0), 0))</f>
        <v>0.003</v>
      </c>
      <c r="P18" s="2" t="str">
        <f>_xlfn.TEXTJOIN(" ", TRUE, INDEX(Dosing_Plans!$C$6:$F$389, MATCH(_xlfn.CONCAT(Experiment_Plan!$G$18, Experiment_Plan!P6), Dosing_Plans!$B$6:$B$389, 0), 0))</f>
        <v>0.001</v>
      </c>
      <c r="Q18" s="2" t="str">
        <f>_xlfn.TEXTJOIN(" ", TRUE, INDEX(Dosing_Plans!$C$6:$F$389, MATCH(_xlfn.CONCAT(Experiment_Plan!$G$18, Experiment_Plan!Q6), Dosing_Plans!$B$6:$B$389, 0), 0))</f>
        <v>0.0003</v>
      </c>
      <c r="R18" s="2" t="str">
        <f>_xlfn.TEXTJOIN(" ", TRUE, INDEX(Dosing_Plans!$C$6:$F$389, MATCH(_xlfn.CONCAT(Experiment_Plan!$G$18, Experiment_Plan!R6), Dosing_Plans!$B$6:$B$389, 0), 0))</f>
        <v>0.0001</v>
      </c>
      <c r="S18" s="2" t="str">
        <f>_xlfn.TEXTJOIN(" ", TRUE, INDEX(Dosing_Plans!$C$6:$F$389, MATCH(_xlfn.CONCAT(Experiment_Plan!$G$18, Experiment_Plan!S6), Dosing_Plans!$B$6:$B$389, 0), 0))</f>
        <v>0.00003</v>
      </c>
      <c r="T18" s="2" t="str">
        <f>_xlfn.TEXTJOIN(" ", TRUE, INDEX(Dosing_Plans!$C$6:$F$389, MATCH(_xlfn.CONCAT(Experiment_Plan!$G$18, Experiment_Plan!T6), Dosing_Plans!$B$6:$B$389, 0), 0))</f>
        <v>0.00001</v>
      </c>
      <c r="U18" s="2" t="str">
        <f>_xlfn.TEXTJOIN(" ", TRUE, INDEX(Dosing_Plans!$C$6:$F$389, MATCH(_xlfn.CONCAT(Experiment_Plan!$G$18, Experiment_Plan!U6), Dosing_Plans!$B$6:$B$389, 0), 0))</f>
        <v>0.00001</v>
      </c>
      <c r="V18" s="2" t="str">
        <f>_xlfn.TEXTJOIN(" ", TRUE, INDEX(Dosing_Plans!$C$6:$F$389, MATCH(_xlfn.CONCAT(Experiment_Plan!$G$18, Experiment_Plan!V6), Dosing_Plans!$B$6:$B$389, 0), 0))</f>
        <v>0.00001</v>
      </c>
      <c r="W18" s="2" t="str">
        <f>_xlfn.TEXTJOIN(" ", TRUE, INDEX(Dosing_Plans!$C$6:$F$389, MATCH(_xlfn.CONCAT(Experiment_Plan!$G$18, Experiment_Plan!W6), Dosing_Plans!$B$6:$B$389, 0), 0))</f>
        <v>0.00001</v>
      </c>
      <c r="X18" s="2" t="str">
        <f>_xlfn.TEXTJOIN(" ", TRUE, INDEX(Dosing_Plans!$C$6:$F$389, MATCH(_xlfn.CONCAT(Experiment_Plan!$G$18, Experiment_Plan!X6), Dosing_Plans!$B$6:$B$389, 0), 0))</f>
        <v>0.00001</v>
      </c>
      <c r="Y18" s="2" t="str">
        <f>_xlfn.TEXTJOIN(" ", TRUE, INDEX(Dosing_Plans!$C$6:$F$389, MATCH(_xlfn.CONCAT(Experiment_Plan!$G$18, Experiment_Plan!Y6), Dosing_Plans!$B$6:$B$389, 0), 0))</f>
        <v>0.00001</v>
      </c>
      <c r="Z18" s="2" t="str">
        <f>_xlfn.TEXTJOIN(" ", TRUE, INDEX(Dosing_Plans!$C$6:$F$389, MATCH(_xlfn.CONCAT(Experiment_Plan!$G$18, Experiment_Plan!Z6), Dosing_Plans!$B$6:$B$389, 0), 0))</f>
        <v>0.00001</v>
      </c>
      <c r="AA18" s="2" t="str">
        <f>_xlfn.TEXTJOIN(" ", TRUE, INDEX(Dosing_Plans!$C$6:$F$389, MATCH(_xlfn.CONCAT(Experiment_Plan!$G$18, Experiment_Plan!AA6), Dosing_Plans!$B$6:$B$389, 0), 0))</f>
        <v>0.00001</v>
      </c>
      <c r="AB18" s="2" t="str">
        <f>_xlfn.TEXTJOIN(" ", TRUE, INDEX(Dosing_Plans!$C$6:$F$389, MATCH(_xlfn.CONCAT(Experiment_Plan!$G$18, Experiment_Plan!AB6), Dosing_Plans!$B$6:$B$389, 0), 0))</f>
        <v>0.00001</v>
      </c>
      <c r="AC18" s="2" t="str">
        <f>_xlfn.TEXTJOIN(" ", TRUE, INDEX(Dosing_Plans!$C$6:$F$389, MATCH(_xlfn.CONCAT(Experiment_Plan!$G$18, Experiment_Plan!AC6), Dosing_Plans!$B$6:$B$389, 0), 0))</f>
        <v>0.00001</v>
      </c>
      <c r="AD18" s="2" t="str">
        <f>_xlfn.TEXTJOIN(" ", TRUE, INDEX(Dosing_Plans!$C$6:$F$389, MATCH(_xlfn.CONCAT(Experiment_Plan!$G$18, Experiment_Plan!AD6), Dosing_Plans!$B$6:$B$389, 0), 0))</f>
        <v>0.00001</v>
      </c>
      <c r="AE18" s="11" t="str">
        <f>_xlfn.TEXTJOIN(" ", TRUE, INDEX(Dosing_Plans!$C$6:$F$389, MATCH(_xlfn.CONCAT(Experiment_Plan!$G$18, Experiment_Plan!AE6), Dosing_Plans!$B$6:$B$389, 0), 0))</f>
        <v>0.00001</v>
      </c>
    </row>
    <row r="19" spans="1:31" x14ac:dyDescent="0.2">
      <c r="G19" s="2" t="s">
        <v>12</v>
      </c>
      <c r="H19" s="10" t="str">
        <f>_xlfn.TEXTJOIN(" ", TRUE, INDEX(Dosing_Plans!$C$6:$F$389, MATCH(_xlfn.CONCAT(Experiment_Plan!$G$19, Experiment_Plan!H6), Dosing_Plans!$B$6:$B$389, 0), 0))</f>
        <v>10</v>
      </c>
      <c r="I19" s="2" t="str">
        <f>_xlfn.TEXTJOIN(" ", TRUE, INDEX(Dosing_Plans!$C$6:$F$389, MATCH(_xlfn.CONCAT(Experiment_Plan!$G$19, Experiment_Plan!I6), Dosing_Plans!$B$6:$B$389, 0), 0))</f>
        <v>3.16</v>
      </c>
      <c r="J19" s="2" t="str">
        <f>_xlfn.TEXTJOIN(" ", TRUE, INDEX(Dosing_Plans!$C$6:$F$389, MATCH(_xlfn.CONCAT(Experiment_Plan!$G$19, Experiment_Plan!J6), Dosing_Plans!$B$6:$B$389, 0), 0))</f>
        <v>1</v>
      </c>
      <c r="K19" s="2" t="str">
        <f>_xlfn.TEXTJOIN(" ", TRUE, INDEX(Dosing_Plans!$C$6:$F$389, MATCH(_xlfn.CONCAT(Experiment_Plan!$G$19, Experiment_Plan!K6), Dosing_Plans!$B$6:$B$389, 0), 0))</f>
        <v>0.3</v>
      </c>
      <c r="L19" s="2" t="str">
        <f>_xlfn.TEXTJOIN(" ", TRUE, INDEX(Dosing_Plans!$C$6:$F$389, MATCH(_xlfn.CONCAT(Experiment_Plan!$G$19, Experiment_Plan!L6), Dosing_Plans!$B$6:$B$389, 0), 0))</f>
        <v>0.1</v>
      </c>
      <c r="M19" s="2" t="str">
        <f>_xlfn.TEXTJOIN(" ", TRUE, INDEX(Dosing_Plans!$C$6:$F$389, MATCH(_xlfn.CONCAT(Experiment_Plan!$G$19, Experiment_Plan!M6), Dosing_Plans!$B$6:$B$389, 0), 0))</f>
        <v>0.03</v>
      </c>
      <c r="N19" s="2" t="str">
        <f>_xlfn.TEXTJOIN(" ", TRUE, INDEX(Dosing_Plans!$C$6:$F$389, MATCH(_xlfn.CONCAT(Experiment_Plan!$G$19, Experiment_Plan!N6), Dosing_Plans!$B$6:$B$389, 0), 0))</f>
        <v>0.01</v>
      </c>
      <c r="O19" s="2" t="str">
        <f>_xlfn.TEXTJOIN(" ", TRUE, INDEX(Dosing_Plans!$C$6:$F$389, MATCH(_xlfn.CONCAT(Experiment_Plan!$G$19, Experiment_Plan!O6), Dosing_Plans!$B$6:$B$389, 0), 0))</f>
        <v>0.003</v>
      </c>
      <c r="P19" s="2" t="str">
        <f>_xlfn.TEXTJOIN(" ", TRUE, INDEX(Dosing_Plans!$C$6:$F$389, MATCH(_xlfn.CONCAT(Experiment_Plan!$G$19, Experiment_Plan!P6), Dosing_Plans!$B$6:$B$389, 0), 0))</f>
        <v>0.001</v>
      </c>
      <c r="Q19" s="2" t="str">
        <f>_xlfn.TEXTJOIN(" ", TRUE, INDEX(Dosing_Plans!$C$6:$F$389, MATCH(_xlfn.CONCAT(Experiment_Plan!$G$19, Experiment_Plan!Q6), Dosing_Plans!$B$6:$B$389, 0), 0))</f>
        <v>0.0003</v>
      </c>
      <c r="R19" s="2" t="str">
        <f>_xlfn.TEXTJOIN(" ", TRUE, INDEX(Dosing_Plans!$C$6:$F$389, MATCH(_xlfn.CONCAT(Experiment_Plan!$G$19, Experiment_Plan!R6), Dosing_Plans!$B$6:$B$389, 0), 0))</f>
        <v>0.0001</v>
      </c>
      <c r="S19" s="2" t="str">
        <f>_xlfn.TEXTJOIN(" ", TRUE, INDEX(Dosing_Plans!$C$6:$F$389, MATCH(_xlfn.CONCAT(Experiment_Plan!$G$19, Experiment_Plan!S6), Dosing_Plans!$B$6:$B$389, 0), 0))</f>
        <v>0.00003</v>
      </c>
      <c r="T19" s="2" t="str">
        <f>_xlfn.TEXTJOIN(" ", TRUE, INDEX(Dosing_Plans!$C$6:$F$389, MATCH(_xlfn.CONCAT(Experiment_Plan!$G$19, Experiment_Plan!T6), Dosing_Plans!$B$6:$B$389, 0), 0))</f>
        <v>0.00001</v>
      </c>
      <c r="U19" s="2" t="str">
        <f>_xlfn.TEXTJOIN(" ", TRUE, INDEX(Dosing_Plans!$C$6:$F$389, MATCH(_xlfn.CONCAT(Experiment_Plan!$G$19, Experiment_Plan!U6), Dosing_Plans!$B$6:$B$389, 0), 0))</f>
        <v>0.00001</v>
      </c>
      <c r="V19" s="2" t="str">
        <f>_xlfn.TEXTJOIN(" ", TRUE, INDEX(Dosing_Plans!$C$6:$F$389, MATCH(_xlfn.CONCAT(Experiment_Plan!$G$19, Experiment_Plan!V6), Dosing_Plans!$B$6:$B$389, 0), 0))</f>
        <v>0.00001</v>
      </c>
      <c r="W19" s="2" t="str">
        <f>_xlfn.TEXTJOIN(" ", TRUE, INDEX(Dosing_Plans!$C$6:$F$389, MATCH(_xlfn.CONCAT(Experiment_Plan!$G$19, Experiment_Plan!W6), Dosing_Plans!$B$6:$B$389, 0), 0))</f>
        <v>0.00001</v>
      </c>
      <c r="X19" s="2" t="str">
        <f>_xlfn.TEXTJOIN(" ", TRUE, INDEX(Dosing_Plans!$C$6:$F$389, MATCH(_xlfn.CONCAT(Experiment_Plan!$G$19, Experiment_Plan!X6), Dosing_Plans!$B$6:$B$389, 0), 0))</f>
        <v>0.00001</v>
      </c>
      <c r="Y19" s="2" t="str">
        <f>_xlfn.TEXTJOIN(" ", TRUE, INDEX(Dosing_Plans!$C$6:$F$389, MATCH(_xlfn.CONCAT(Experiment_Plan!$G$19, Experiment_Plan!Y6), Dosing_Plans!$B$6:$B$389, 0), 0))</f>
        <v>0.00001</v>
      </c>
      <c r="Z19" s="2" t="str">
        <f>_xlfn.TEXTJOIN(" ", TRUE, INDEX(Dosing_Plans!$C$6:$F$389, MATCH(_xlfn.CONCAT(Experiment_Plan!$G$19, Experiment_Plan!Z6), Dosing_Plans!$B$6:$B$389, 0), 0))</f>
        <v>0.00001</v>
      </c>
      <c r="AA19" s="2" t="str">
        <f>_xlfn.TEXTJOIN(" ", TRUE, INDEX(Dosing_Plans!$C$6:$F$389, MATCH(_xlfn.CONCAT(Experiment_Plan!$G$19, Experiment_Plan!AA6), Dosing_Plans!$B$6:$B$389, 0), 0))</f>
        <v>0.00001</v>
      </c>
      <c r="AB19" s="2" t="str">
        <f>_xlfn.TEXTJOIN(" ", TRUE, INDEX(Dosing_Plans!$C$6:$F$389, MATCH(_xlfn.CONCAT(Experiment_Plan!$G$19, Experiment_Plan!AB6), Dosing_Plans!$B$6:$B$389, 0), 0))</f>
        <v>0.00001</v>
      </c>
      <c r="AC19" s="2" t="str">
        <f>_xlfn.TEXTJOIN(" ", TRUE, INDEX(Dosing_Plans!$C$6:$F$389, MATCH(_xlfn.CONCAT(Experiment_Plan!$G$19, Experiment_Plan!AC6), Dosing_Plans!$B$6:$B$389, 0), 0))</f>
        <v>0.00001</v>
      </c>
      <c r="AD19" s="2" t="str">
        <f>_xlfn.TEXTJOIN(" ", TRUE, INDEX(Dosing_Plans!$C$6:$F$389, MATCH(_xlfn.CONCAT(Experiment_Plan!$G$19, Experiment_Plan!AD6), Dosing_Plans!$B$6:$B$389, 0), 0))</f>
        <v>0.00001</v>
      </c>
      <c r="AE19" s="11" t="str">
        <f>_xlfn.TEXTJOIN(" ", TRUE, INDEX(Dosing_Plans!$C$6:$F$389, MATCH(_xlfn.CONCAT(Experiment_Plan!$G$19, Experiment_Plan!AE6), Dosing_Plans!$B$6:$B$389, 0), 0))</f>
        <v>0.00001</v>
      </c>
    </row>
    <row r="20" spans="1:31" x14ac:dyDescent="0.2">
      <c r="G20" s="2" t="s">
        <v>13</v>
      </c>
      <c r="H20" s="10" t="str">
        <f>_xlfn.TEXTJOIN(" ", TRUE, INDEX(Dosing_Plans!$C$6:$F$389, MATCH(_xlfn.CONCAT(Experiment_Plan!$G$20, Experiment_Plan!H6), Dosing_Plans!$B$6:$B$389, 0), 0))</f>
        <v>10</v>
      </c>
      <c r="I20" s="2" t="str">
        <f>_xlfn.TEXTJOIN(" ", TRUE, INDEX(Dosing_Plans!$C$6:$F$389, MATCH(_xlfn.CONCAT(Experiment_Plan!$G$20, Experiment_Plan!I6), Dosing_Plans!$B$6:$B$389, 0), 0))</f>
        <v>3.16</v>
      </c>
      <c r="J20" s="2" t="str">
        <f>_xlfn.TEXTJOIN(" ", TRUE, INDEX(Dosing_Plans!$C$6:$F$389, MATCH(_xlfn.CONCAT(Experiment_Plan!$G$20, Experiment_Plan!J6), Dosing_Plans!$B$6:$B$389, 0), 0))</f>
        <v>1</v>
      </c>
      <c r="K20" s="2" t="str">
        <f>_xlfn.TEXTJOIN(" ", TRUE, INDEX(Dosing_Plans!$C$6:$F$389, MATCH(_xlfn.CONCAT(Experiment_Plan!$G$20, Experiment_Plan!K6), Dosing_Plans!$B$6:$B$389, 0), 0))</f>
        <v>0.3</v>
      </c>
      <c r="L20" s="2" t="str">
        <f>_xlfn.TEXTJOIN(" ", TRUE, INDEX(Dosing_Plans!$C$6:$F$389, MATCH(_xlfn.CONCAT(Experiment_Plan!$G$20, Experiment_Plan!L6), Dosing_Plans!$B$6:$B$389, 0), 0))</f>
        <v>0.1</v>
      </c>
      <c r="M20" s="2" t="str">
        <f>_xlfn.TEXTJOIN(" ", TRUE, INDEX(Dosing_Plans!$C$6:$F$389, MATCH(_xlfn.CONCAT(Experiment_Plan!$G$20, Experiment_Plan!M6), Dosing_Plans!$B$6:$B$389, 0), 0))</f>
        <v>0.03</v>
      </c>
      <c r="N20" s="2" t="str">
        <f>_xlfn.TEXTJOIN(" ", TRUE, INDEX(Dosing_Plans!$C$6:$F$389, MATCH(_xlfn.CONCAT(Experiment_Plan!$G$20, Experiment_Plan!N6), Dosing_Plans!$B$6:$B$389, 0), 0))</f>
        <v>0.01</v>
      </c>
      <c r="O20" s="2" t="str">
        <f>_xlfn.TEXTJOIN(" ", TRUE, INDEX(Dosing_Plans!$C$6:$F$389, MATCH(_xlfn.CONCAT(Experiment_Plan!$G$20, Experiment_Plan!O6), Dosing_Plans!$B$6:$B$389, 0), 0))</f>
        <v>0.003</v>
      </c>
      <c r="P20" s="2" t="str">
        <f>_xlfn.TEXTJOIN(" ", TRUE, INDEX(Dosing_Plans!$C$6:$F$389, MATCH(_xlfn.CONCAT(Experiment_Plan!$G$20, Experiment_Plan!P6), Dosing_Plans!$B$6:$B$389, 0), 0))</f>
        <v>0.001</v>
      </c>
      <c r="Q20" s="2" t="str">
        <f>_xlfn.TEXTJOIN(" ", TRUE, INDEX(Dosing_Plans!$C$6:$F$389, MATCH(_xlfn.CONCAT(Experiment_Plan!$G$20, Experiment_Plan!Q6), Dosing_Plans!$B$6:$B$389, 0), 0))</f>
        <v>0.0003</v>
      </c>
      <c r="R20" s="2" t="str">
        <f>_xlfn.TEXTJOIN(" ", TRUE, INDEX(Dosing_Plans!$C$6:$F$389, MATCH(_xlfn.CONCAT(Experiment_Plan!$G$20, Experiment_Plan!R6), Dosing_Plans!$B$6:$B$389, 0), 0))</f>
        <v>0.0001</v>
      </c>
      <c r="S20" s="2" t="str">
        <f>_xlfn.TEXTJOIN(" ", TRUE, INDEX(Dosing_Plans!$C$6:$F$389, MATCH(_xlfn.CONCAT(Experiment_Plan!$G$20, Experiment_Plan!S6), Dosing_Plans!$B$6:$B$389, 0), 0))</f>
        <v>0.00003</v>
      </c>
      <c r="T20" s="2" t="str">
        <f>_xlfn.TEXTJOIN(" ", TRUE, INDEX(Dosing_Plans!$C$6:$F$389, MATCH(_xlfn.CONCAT(Experiment_Plan!$G$20, Experiment_Plan!T6), Dosing_Plans!$B$6:$B$389, 0), 0))</f>
        <v>0.00001</v>
      </c>
      <c r="U20" s="2" t="str">
        <f>_xlfn.TEXTJOIN(" ", TRUE, INDEX(Dosing_Plans!$C$6:$F$389, MATCH(_xlfn.CONCAT(Experiment_Plan!$G$20, Experiment_Plan!U6), Dosing_Plans!$B$6:$B$389, 0), 0))</f>
        <v>0.00001</v>
      </c>
      <c r="V20" s="2" t="str">
        <f>_xlfn.TEXTJOIN(" ", TRUE, INDEX(Dosing_Plans!$C$6:$F$389, MATCH(_xlfn.CONCAT(Experiment_Plan!$G$20, Experiment_Plan!V6), Dosing_Plans!$B$6:$B$389, 0), 0))</f>
        <v>0.00001</v>
      </c>
      <c r="W20" s="2" t="str">
        <f>_xlfn.TEXTJOIN(" ", TRUE, INDEX(Dosing_Plans!$C$6:$F$389, MATCH(_xlfn.CONCAT(Experiment_Plan!$G$20, Experiment_Plan!W6), Dosing_Plans!$B$6:$B$389, 0), 0))</f>
        <v>0.00001</v>
      </c>
      <c r="X20" s="2" t="str">
        <f>_xlfn.TEXTJOIN(" ", TRUE, INDEX(Dosing_Plans!$C$6:$F$389, MATCH(_xlfn.CONCAT(Experiment_Plan!$G$20, Experiment_Plan!X6), Dosing_Plans!$B$6:$B$389, 0), 0))</f>
        <v>0.00001</v>
      </c>
      <c r="Y20" s="2" t="str">
        <f>_xlfn.TEXTJOIN(" ", TRUE, INDEX(Dosing_Plans!$C$6:$F$389, MATCH(_xlfn.CONCAT(Experiment_Plan!$G$20, Experiment_Plan!Y6), Dosing_Plans!$B$6:$B$389, 0), 0))</f>
        <v>0.00001</v>
      </c>
      <c r="Z20" s="2" t="str">
        <f>_xlfn.TEXTJOIN(" ", TRUE, INDEX(Dosing_Plans!$C$6:$F$389, MATCH(_xlfn.CONCAT(Experiment_Plan!$G$20, Experiment_Plan!Z6), Dosing_Plans!$B$6:$B$389, 0), 0))</f>
        <v>0.00001</v>
      </c>
      <c r="AA20" s="2" t="str">
        <f>_xlfn.TEXTJOIN(" ", TRUE, INDEX(Dosing_Plans!$C$6:$F$389, MATCH(_xlfn.CONCAT(Experiment_Plan!$G$20, Experiment_Plan!AA6), Dosing_Plans!$B$6:$B$389, 0), 0))</f>
        <v>0.00001</v>
      </c>
      <c r="AB20" s="2" t="str">
        <f>_xlfn.TEXTJOIN(" ", TRUE, INDEX(Dosing_Plans!$C$6:$F$389, MATCH(_xlfn.CONCAT(Experiment_Plan!$G$20, Experiment_Plan!AB6), Dosing_Plans!$B$6:$B$389, 0), 0))</f>
        <v>0.00001</v>
      </c>
      <c r="AC20" s="2" t="str">
        <f>_xlfn.TEXTJOIN(" ", TRUE, INDEX(Dosing_Plans!$C$6:$F$389, MATCH(_xlfn.CONCAT(Experiment_Plan!$G$20, Experiment_Plan!AC6), Dosing_Plans!$B$6:$B$389, 0), 0))</f>
        <v>0.00001</v>
      </c>
      <c r="AD20" s="2" t="str">
        <f>_xlfn.TEXTJOIN(" ", TRUE, INDEX(Dosing_Plans!$C$6:$F$389, MATCH(_xlfn.CONCAT(Experiment_Plan!$G$20, Experiment_Plan!AD6), Dosing_Plans!$B$6:$B$389, 0), 0))</f>
        <v>0.00001</v>
      </c>
      <c r="AE20" s="11" t="str">
        <f>_xlfn.TEXTJOIN(" ", TRUE, INDEX(Dosing_Plans!$C$6:$F$389, MATCH(_xlfn.CONCAT(Experiment_Plan!$G$20, Experiment_Plan!AE6), Dosing_Plans!$B$6:$B$389, 0), 0))</f>
        <v>0.00001</v>
      </c>
    </row>
    <row r="21" spans="1:31" x14ac:dyDescent="0.2">
      <c r="G21" s="2" t="s">
        <v>14</v>
      </c>
      <c r="H21" s="10" t="str">
        <f>_xlfn.TEXTJOIN(" ", TRUE, INDEX(Dosing_Plans!$C$6:$F$389, MATCH(_xlfn.CONCAT(Experiment_Plan!$G$21, Experiment_Plan!H6), Dosing_Plans!$B$6:$B$389, 0), 0))</f>
        <v>10</v>
      </c>
      <c r="I21" s="2" t="str">
        <f>_xlfn.TEXTJOIN(" ", TRUE, INDEX(Dosing_Plans!$C$6:$F$389, MATCH(_xlfn.CONCAT(Experiment_Plan!$G$21, Experiment_Plan!I6), Dosing_Plans!$B$6:$B$389, 0), 0))</f>
        <v>3.16</v>
      </c>
      <c r="J21" s="2" t="str">
        <f>_xlfn.TEXTJOIN(" ", TRUE, INDEX(Dosing_Plans!$C$6:$F$389, MATCH(_xlfn.CONCAT(Experiment_Plan!$G$21, Experiment_Plan!J6), Dosing_Plans!$B$6:$B$389, 0), 0))</f>
        <v>1</v>
      </c>
      <c r="K21" s="2" t="str">
        <f>_xlfn.TEXTJOIN(" ", TRUE, INDEX(Dosing_Plans!$C$6:$F$389, MATCH(_xlfn.CONCAT(Experiment_Plan!$G$21, Experiment_Plan!K6), Dosing_Plans!$B$6:$B$389, 0), 0))</f>
        <v>0.3</v>
      </c>
      <c r="L21" s="2" t="str">
        <f>_xlfn.TEXTJOIN(" ", TRUE, INDEX(Dosing_Plans!$C$6:$F$389, MATCH(_xlfn.CONCAT(Experiment_Plan!$G$21, Experiment_Plan!L6), Dosing_Plans!$B$6:$B$389, 0), 0))</f>
        <v>0.1</v>
      </c>
      <c r="M21" s="2" t="str">
        <f>_xlfn.TEXTJOIN(" ", TRUE, INDEX(Dosing_Plans!$C$6:$F$389, MATCH(_xlfn.CONCAT(Experiment_Plan!$G$21, Experiment_Plan!M6), Dosing_Plans!$B$6:$B$389, 0), 0))</f>
        <v>0.03</v>
      </c>
      <c r="N21" s="2" t="str">
        <f>_xlfn.TEXTJOIN(" ", TRUE, INDEX(Dosing_Plans!$C$6:$F$389, MATCH(_xlfn.CONCAT(Experiment_Plan!$G$21, Experiment_Plan!N6), Dosing_Plans!$B$6:$B$389, 0), 0))</f>
        <v>0.01</v>
      </c>
      <c r="O21" s="2" t="str">
        <f>_xlfn.TEXTJOIN(" ", TRUE, INDEX(Dosing_Plans!$C$6:$F$389, MATCH(_xlfn.CONCAT(Experiment_Plan!$G$21, Experiment_Plan!O6), Dosing_Plans!$B$6:$B$389, 0), 0))</f>
        <v>0.003</v>
      </c>
      <c r="P21" s="2" t="str">
        <f>_xlfn.TEXTJOIN(" ", TRUE, INDEX(Dosing_Plans!$C$6:$F$389, MATCH(_xlfn.CONCAT(Experiment_Plan!$G$21, Experiment_Plan!P6), Dosing_Plans!$B$6:$B$389, 0), 0))</f>
        <v>0.001</v>
      </c>
      <c r="Q21" s="2" t="str">
        <f>_xlfn.TEXTJOIN(" ", TRUE, INDEX(Dosing_Plans!$C$6:$F$389, MATCH(_xlfn.CONCAT(Experiment_Plan!$G$21, Experiment_Plan!Q6), Dosing_Plans!$B$6:$B$389, 0), 0))</f>
        <v>0.0003</v>
      </c>
      <c r="R21" s="2" t="str">
        <f>_xlfn.TEXTJOIN(" ", TRUE, INDEX(Dosing_Plans!$C$6:$F$389, MATCH(_xlfn.CONCAT(Experiment_Plan!$G$21, Experiment_Plan!R6), Dosing_Plans!$B$6:$B$389, 0), 0))</f>
        <v>0.0001</v>
      </c>
      <c r="S21" s="2" t="str">
        <f>_xlfn.TEXTJOIN(" ", TRUE, INDEX(Dosing_Plans!$C$6:$F$389, MATCH(_xlfn.CONCAT(Experiment_Plan!$G$21, Experiment_Plan!S6), Dosing_Plans!$B$6:$B$389, 0), 0))</f>
        <v>0.00003</v>
      </c>
      <c r="T21" s="2" t="str">
        <f>_xlfn.TEXTJOIN(" ", TRUE, INDEX(Dosing_Plans!$C$6:$F$389, MATCH(_xlfn.CONCAT(Experiment_Plan!$G$21, Experiment_Plan!T6), Dosing_Plans!$B$6:$B$389, 0), 0))</f>
        <v>0.00001</v>
      </c>
      <c r="U21" s="2" t="str">
        <f>_xlfn.TEXTJOIN(" ", TRUE, INDEX(Dosing_Plans!$C$6:$F$389, MATCH(_xlfn.CONCAT(Experiment_Plan!$G$21, Experiment_Plan!U6), Dosing_Plans!$B$6:$B$389, 0), 0))</f>
        <v>0.00001</v>
      </c>
      <c r="V21" s="2" t="str">
        <f>_xlfn.TEXTJOIN(" ", TRUE, INDEX(Dosing_Plans!$C$6:$F$389, MATCH(_xlfn.CONCAT(Experiment_Plan!$G$21, Experiment_Plan!V6), Dosing_Plans!$B$6:$B$389, 0), 0))</f>
        <v>0.00001</v>
      </c>
      <c r="W21" s="2" t="str">
        <f>_xlfn.TEXTJOIN(" ", TRUE, INDEX(Dosing_Plans!$C$6:$F$389, MATCH(_xlfn.CONCAT(Experiment_Plan!$G$21, Experiment_Plan!W6), Dosing_Plans!$B$6:$B$389, 0), 0))</f>
        <v>0.00001</v>
      </c>
      <c r="X21" s="2" t="str">
        <f>_xlfn.TEXTJOIN(" ", TRUE, INDEX(Dosing_Plans!$C$6:$F$389, MATCH(_xlfn.CONCAT(Experiment_Plan!$G$21, Experiment_Plan!X6), Dosing_Plans!$B$6:$B$389, 0), 0))</f>
        <v>0.00001</v>
      </c>
      <c r="Y21" s="2" t="str">
        <f>_xlfn.TEXTJOIN(" ", TRUE, INDEX(Dosing_Plans!$C$6:$F$389, MATCH(_xlfn.CONCAT(Experiment_Plan!$G$21, Experiment_Plan!Y6), Dosing_Plans!$B$6:$B$389, 0), 0))</f>
        <v>0.00001</v>
      </c>
      <c r="Z21" s="2" t="str">
        <f>_xlfn.TEXTJOIN(" ", TRUE, INDEX(Dosing_Plans!$C$6:$F$389, MATCH(_xlfn.CONCAT(Experiment_Plan!$G$21, Experiment_Plan!Z6), Dosing_Plans!$B$6:$B$389, 0), 0))</f>
        <v>0.00001</v>
      </c>
      <c r="AA21" s="2" t="str">
        <f>_xlfn.TEXTJOIN(" ", TRUE, INDEX(Dosing_Plans!$C$6:$F$389, MATCH(_xlfn.CONCAT(Experiment_Plan!$G$21, Experiment_Plan!AA6), Dosing_Plans!$B$6:$B$389, 0), 0))</f>
        <v>0.00001</v>
      </c>
      <c r="AB21" s="2" t="str">
        <f>_xlfn.TEXTJOIN(" ", TRUE, INDEX(Dosing_Plans!$C$6:$F$389, MATCH(_xlfn.CONCAT(Experiment_Plan!$G$21, Experiment_Plan!AB6), Dosing_Plans!$B$6:$B$389, 0), 0))</f>
        <v>0.00001</v>
      </c>
      <c r="AC21" s="2" t="str">
        <f>_xlfn.TEXTJOIN(" ", TRUE, INDEX(Dosing_Plans!$C$6:$F$389, MATCH(_xlfn.CONCAT(Experiment_Plan!$G$21, Experiment_Plan!AC6), Dosing_Plans!$B$6:$B$389, 0), 0))</f>
        <v>0.00001</v>
      </c>
      <c r="AD21" s="2" t="str">
        <f>_xlfn.TEXTJOIN(" ", TRUE, INDEX(Dosing_Plans!$C$6:$F$389, MATCH(_xlfn.CONCAT(Experiment_Plan!$G$21, Experiment_Plan!AD6), Dosing_Plans!$B$6:$B$389, 0), 0))</f>
        <v>0.00001</v>
      </c>
      <c r="AE21" s="11" t="str">
        <f>_xlfn.TEXTJOIN(" ", TRUE, INDEX(Dosing_Plans!$C$6:$F$389, MATCH(_xlfn.CONCAT(Experiment_Plan!$G$21, Experiment_Plan!AE6), Dosing_Plans!$B$6:$B$389, 0), 0))</f>
        <v>0.00001</v>
      </c>
    </row>
    <row r="22" spans="1:31" ht="17" thickBot="1" x14ac:dyDescent="0.25">
      <c r="G22" s="2" t="s">
        <v>15</v>
      </c>
      <c r="H22" s="6" t="str">
        <f>_xlfn.TEXTJOIN(" ", TRUE, INDEX(Dosing_Plans!$C$6:$F$389, MATCH(_xlfn.CONCAT(Experiment_Plan!$G$22, Experiment_Plan!H6), Dosing_Plans!$B$6:$B$389, 0), 0))</f>
        <v>10</v>
      </c>
      <c r="I22" s="7" t="str">
        <f>_xlfn.TEXTJOIN(" ", TRUE, INDEX(Dosing_Plans!$C$6:$F$389, MATCH(_xlfn.CONCAT(Experiment_Plan!$G$22, Experiment_Plan!I6), Dosing_Plans!$B$6:$B$389, 0), 0))</f>
        <v>3.16</v>
      </c>
      <c r="J22" s="7" t="str">
        <f>_xlfn.TEXTJOIN(" ", TRUE, INDEX(Dosing_Plans!$C$6:$F$389, MATCH(_xlfn.CONCAT(Experiment_Plan!$G$22, Experiment_Plan!J6), Dosing_Plans!$B$6:$B$389, 0), 0))</f>
        <v>1</v>
      </c>
      <c r="K22" s="7" t="str">
        <f>_xlfn.TEXTJOIN(" ", TRUE, INDEX(Dosing_Plans!$C$6:$F$389, MATCH(_xlfn.CONCAT(Experiment_Plan!$G$22, Experiment_Plan!K6), Dosing_Plans!$B$6:$B$389, 0), 0))</f>
        <v>0.3</v>
      </c>
      <c r="L22" s="7" t="str">
        <f>_xlfn.TEXTJOIN(" ", TRUE, INDEX(Dosing_Plans!$C$6:$F$389, MATCH(_xlfn.CONCAT(Experiment_Plan!$G$22, Experiment_Plan!L6), Dosing_Plans!$B$6:$B$389, 0), 0))</f>
        <v>0.1</v>
      </c>
      <c r="M22" s="7" t="str">
        <f>_xlfn.TEXTJOIN(" ", TRUE, INDEX(Dosing_Plans!$C$6:$F$389, MATCH(_xlfn.CONCAT(Experiment_Plan!$G$22, Experiment_Plan!M6), Dosing_Plans!$B$6:$B$389, 0), 0))</f>
        <v>0.03</v>
      </c>
      <c r="N22" s="7" t="str">
        <f>_xlfn.TEXTJOIN(" ", TRUE, INDEX(Dosing_Plans!$C$6:$F$389, MATCH(_xlfn.CONCAT(Experiment_Plan!$G$22, Experiment_Plan!N6), Dosing_Plans!$B$6:$B$389, 0), 0))</f>
        <v>0.01</v>
      </c>
      <c r="O22" s="7" t="str">
        <f>_xlfn.TEXTJOIN(" ", TRUE, INDEX(Dosing_Plans!$C$6:$F$389, MATCH(_xlfn.CONCAT(Experiment_Plan!$G$22, Experiment_Plan!O6), Dosing_Plans!$B$6:$B$389, 0), 0))</f>
        <v>0.003</v>
      </c>
      <c r="P22" s="7" t="str">
        <f>_xlfn.TEXTJOIN(" ", TRUE, INDEX(Dosing_Plans!$C$6:$F$389, MATCH(_xlfn.CONCAT(Experiment_Plan!$G$22, Experiment_Plan!P6), Dosing_Plans!$B$6:$B$389, 0), 0))</f>
        <v>0.001</v>
      </c>
      <c r="Q22" s="7" t="str">
        <f>_xlfn.TEXTJOIN(" ", TRUE, INDEX(Dosing_Plans!$C$6:$F$389, MATCH(_xlfn.CONCAT(Experiment_Plan!$G$22, Experiment_Plan!Q6), Dosing_Plans!$B$6:$B$389, 0), 0))</f>
        <v>0.0003</v>
      </c>
      <c r="R22" s="7" t="str">
        <f>_xlfn.TEXTJOIN(" ", TRUE, INDEX(Dosing_Plans!$C$6:$F$389, MATCH(_xlfn.CONCAT(Experiment_Plan!$G$22, Experiment_Plan!R6), Dosing_Plans!$B$6:$B$389, 0), 0))</f>
        <v>0.0001</v>
      </c>
      <c r="S22" s="7" t="str">
        <f>_xlfn.TEXTJOIN(" ", TRUE, INDEX(Dosing_Plans!$C$6:$F$389, MATCH(_xlfn.CONCAT(Experiment_Plan!$G$22, Experiment_Plan!S6), Dosing_Plans!$B$6:$B$389, 0), 0))</f>
        <v>0.00003</v>
      </c>
      <c r="T22" s="7" t="str">
        <f>_xlfn.TEXTJOIN(" ", TRUE, INDEX(Dosing_Plans!$C$6:$F$389, MATCH(_xlfn.CONCAT(Experiment_Plan!$G$22, Experiment_Plan!T6), Dosing_Plans!$B$6:$B$389, 0), 0))</f>
        <v>0.00001</v>
      </c>
      <c r="U22" s="7" t="str">
        <f>_xlfn.TEXTJOIN(" ", TRUE, INDEX(Dosing_Plans!$C$6:$F$389, MATCH(_xlfn.CONCAT(Experiment_Plan!$G$22, Experiment_Plan!U6), Dosing_Plans!$B$6:$B$389, 0), 0))</f>
        <v>0.00001</v>
      </c>
      <c r="V22" s="7" t="str">
        <f>_xlfn.TEXTJOIN(" ", TRUE, INDEX(Dosing_Plans!$C$6:$F$389, MATCH(_xlfn.CONCAT(Experiment_Plan!$G$22, Experiment_Plan!V6), Dosing_Plans!$B$6:$B$389, 0), 0))</f>
        <v>0.00001</v>
      </c>
      <c r="W22" s="7" t="str">
        <f>_xlfn.TEXTJOIN(" ", TRUE, INDEX(Dosing_Plans!$C$6:$F$389, MATCH(_xlfn.CONCAT(Experiment_Plan!$G$22, Experiment_Plan!W6), Dosing_Plans!$B$6:$B$389, 0), 0))</f>
        <v>0.00001</v>
      </c>
      <c r="X22" s="7" t="str">
        <f>_xlfn.TEXTJOIN(" ", TRUE, INDEX(Dosing_Plans!$C$6:$F$389, MATCH(_xlfn.CONCAT(Experiment_Plan!$G$22, Experiment_Plan!X6), Dosing_Plans!$B$6:$B$389, 0), 0))</f>
        <v>0.00001</v>
      </c>
      <c r="Y22" s="7" t="str">
        <f>_xlfn.TEXTJOIN(" ", TRUE, INDEX(Dosing_Plans!$C$6:$F$389, MATCH(_xlfn.CONCAT(Experiment_Plan!$G$22, Experiment_Plan!Y6), Dosing_Plans!$B$6:$B$389, 0), 0))</f>
        <v>0.00001</v>
      </c>
      <c r="Z22" s="7" t="str">
        <f>_xlfn.TEXTJOIN(" ", TRUE, INDEX(Dosing_Plans!$C$6:$F$389, MATCH(_xlfn.CONCAT(Experiment_Plan!$G$22, Experiment_Plan!Z6), Dosing_Plans!$B$6:$B$389, 0), 0))</f>
        <v>0.00001</v>
      </c>
      <c r="AA22" s="7" t="str">
        <f>_xlfn.TEXTJOIN(" ", TRUE, INDEX(Dosing_Plans!$C$6:$F$389, MATCH(_xlfn.CONCAT(Experiment_Plan!$G$22, Experiment_Plan!AA6), Dosing_Plans!$B$6:$B$389, 0), 0))</f>
        <v>0.00001</v>
      </c>
      <c r="AB22" s="7" t="str">
        <f>_xlfn.TEXTJOIN(" ", TRUE, INDEX(Dosing_Plans!$C$6:$F$389, MATCH(_xlfn.CONCAT(Experiment_Plan!$G$22, Experiment_Plan!AB6), Dosing_Plans!$B$6:$B$389, 0), 0))</f>
        <v>0.00001</v>
      </c>
      <c r="AC22" s="7" t="str">
        <f>_xlfn.TEXTJOIN(" ", TRUE, INDEX(Dosing_Plans!$C$6:$F$389, MATCH(_xlfn.CONCAT(Experiment_Plan!$G$22, Experiment_Plan!AC6), Dosing_Plans!$B$6:$B$389, 0), 0))</f>
        <v>0.00001</v>
      </c>
      <c r="AD22" s="7" t="str">
        <f>_xlfn.TEXTJOIN(" ", TRUE, INDEX(Dosing_Plans!$C$6:$F$389, MATCH(_xlfn.CONCAT(Experiment_Plan!$G$22, Experiment_Plan!AD6), Dosing_Plans!$B$6:$B$389, 0), 0))</f>
        <v>0.00001</v>
      </c>
      <c r="AE22" s="8" t="str">
        <f>_xlfn.TEXTJOIN(" ", TRUE, INDEX(Dosing_Plans!$C$6:$F$389, MATCH(_xlfn.CONCAT(Experiment_Plan!$G$22, Experiment_Plan!AE6), Dosing_Plans!$B$6:$B$389, 0), 0))</f>
        <v>0.00001</v>
      </c>
    </row>
    <row r="27" spans="1:31" s="14" customFormat="1" x14ac:dyDescent="0.2">
      <c r="A27" s="12"/>
    </row>
  </sheetData>
  <conditionalFormatting sqref="H7:AE22">
    <cfRule type="colorScale" priority="1">
      <colorScale>
        <cfvo type="min"/>
        <cfvo type="percentile" val="50"/>
        <cfvo type="max"/>
        <color rgb="FFFF7128"/>
        <color rgb="FFFFEB84"/>
        <color rgb="FFFFEF9C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2.CopyAndPasteBasedOnValue">
                <anchor moveWithCells="1" sizeWithCells="1">
                  <from>
                    <xdr:col>2</xdr:col>
                    <xdr:colOff>495300</xdr:colOff>
                    <xdr:row>7</xdr:row>
                    <xdr:rowOff>25400</xdr:rowOff>
                  </from>
                  <to>
                    <xdr:col>4</xdr:col>
                    <xdr:colOff>368300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>
                <anchor moveWithCells="1" sizeWithCells="1">
                  <from>
                    <xdr:col>2</xdr:col>
                    <xdr:colOff>203200</xdr:colOff>
                    <xdr:row>13</xdr:row>
                    <xdr:rowOff>50800</xdr:rowOff>
                  </from>
                  <to>
                    <xdr:col>4</xdr:col>
                    <xdr:colOff>698500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2.PasteFormulasBasedOnD6">
                <anchor moveWithCells="1" sizeWithCells="1">
                  <from>
                    <xdr:col>2</xdr:col>
                    <xdr:colOff>152400</xdr:colOff>
                    <xdr:row>10</xdr:row>
                    <xdr:rowOff>12700</xdr:rowOff>
                  </from>
                  <to>
                    <xdr:col>4</xdr:col>
                    <xdr:colOff>736600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7786A-9B53-2E4A-A3A4-9F0792991B7F}">
          <x14:formula1>
            <xm:f>plate_size_selector!$AE$2:$AE$7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537D4-084E-C745-AF6F-AA386D211B87}">
  <sheetPr codeName="Sheet6"/>
  <dimension ref="A1:AE22"/>
  <sheetViews>
    <sheetView showGridLines="0" zoomScale="58" zoomScaleNormal="62" workbookViewId="0">
      <selection activeCell="H7" sqref="H7"/>
    </sheetView>
  </sheetViews>
  <sheetFormatPr baseColWidth="10" defaultRowHeight="16" x14ac:dyDescent="0.2"/>
  <cols>
    <col min="1" max="1" width="4.83203125" style="1" customWidth="1"/>
  </cols>
  <sheetData>
    <row r="1" spans="7:31" s="1" customFormat="1" x14ac:dyDescent="0.2"/>
    <row r="6" spans="7:31" ht="17" thickBot="1" x14ac:dyDescent="0.25">
      <c r="G6" s="2"/>
      <c r="H6" s="2">
        <v>1</v>
      </c>
      <c r="I6" s="2">
        <v>2</v>
      </c>
      <c r="J6" s="2">
        <v>3</v>
      </c>
      <c r="K6" s="2">
        <v>4</v>
      </c>
      <c r="L6" s="2">
        <v>5</v>
      </c>
      <c r="M6" s="2">
        <v>6</v>
      </c>
      <c r="N6" s="2">
        <v>7</v>
      </c>
      <c r="O6" s="2">
        <v>8</v>
      </c>
      <c r="P6" s="2">
        <v>9</v>
      </c>
      <c r="Q6" s="2">
        <v>10</v>
      </c>
      <c r="R6" s="2">
        <v>11</v>
      </c>
      <c r="S6" s="2">
        <v>12</v>
      </c>
      <c r="T6" s="2">
        <v>13</v>
      </c>
      <c r="U6" s="2">
        <v>14</v>
      </c>
      <c r="V6" s="2">
        <v>15</v>
      </c>
      <c r="W6" s="2">
        <v>16</v>
      </c>
      <c r="X6" s="2">
        <v>17</v>
      </c>
      <c r="Y6" s="2">
        <v>18</v>
      </c>
      <c r="Z6" s="2">
        <v>19</v>
      </c>
      <c r="AA6" s="2">
        <v>20</v>
      </c>
      <c r="AB6" s="2">
        <v>21</v>
      </c>
      <c r="AC6" s="2">
        <v>22</v>
      </c>
      <c r="AD6" s="2">
        <v>23</v>
      </c>
      <c r="AE6" s="2">
        <v>24</v>
      </c>
    </row>
    <row r="7" spans="7:31" x14ac:dyDescent="0.2">
      <c r="G7" s="2" t="s">
        <v>0</v>
      </c>
      <c r="H7" s="3" t="str">
        <f>IFERROR(VALUE(RIGHT(Experiment_Plan!H7, LEN(Experiment_Plan!H7) - FIND(" ", Experiment_Plan!H7))), "")</f>
        <v/>
      </c>
      <c r="I7" s="4" t="str">
        <f>IFERROR(VALUE(RIGHT(Experiment_Plan!I7, LEN(Experiment_Plan!I7) - FIND(" ", Experiment_Plan!I7))), "")</f>
        <v/>
      </c>
      <c r="J7" s="4" t="str">
        <f>IFERROR(VALUE(RIGHT(Experiment_Plan!J7, LEN(Experiment_Plan!J7) - FIND(" ", Experiment_Plan!J7))), "")</f>
        <v/>
      </c>
      <c r="K7" s="4" t="str">
        <f>IFERROR(VALUE(RIGHT(Experiment_Plan!K7, LEN(Experiment_Plan!K7) - FIND(" ", Experiment_Plan!K7))), "")</f>
        <v/>
      </c>
      <c r="L7" s="4" t="str">
        <f>IFERROR(VALUE(RIGHT(Experiment_Plan!L7, LEN(Experiment_Plan!L7) - FIND(" ", Experiment_Plan!L7))), "")</f>
        <v/>
      </c>
      <c r="M7" s="4" t="str">
        <f>IFERROR(VALUE(RIGHT(Experiment_Plan!M7, LEN(Experiment_Plan!M7) - FIND(" ", Experiment_Plan!M7))), "")</f>
        <v/>
      </c>
      <c r="N7" s="4" t="str">
        <f>IFERROR(VALUE(RIGHT(Experiment_Plan!N7, LEN(Experiment_Plan!N7) - FIND(" ", Experiment_Plan!N7))), "")</f>
        <v/>
      </c>
      <c r="O7" s="4" t="str">
        <f>IFERROR(VALUE(RIGHT(Experiment_Plan!O7, LEN(Experiment_Plan!O7) - FIND(" ", Experiment_Plan!O7))), "")</f>
        <v/>
      </c>
      <c r="P7" s="4" t="str">
        <f>IFERROR(VALUE(RIGHT(Experiment_Plan!P7, LEN(Experiment_Plan!P7) - FIND(" ", Experiment_Plan!P7))), "")</f>
        <v/>
      </c>
      <c r="Q7" s="4" t="str">
        <f>IFERROR(VALUE(RIGHT(Experiment_Plan!Q7, LEN(Experiment_Plan!Q7) - FIND(" ", Experiment_Plan!Q7))), "")</f>
        <v/>
      </c>
      <c r="R7" s="4" t="str">
        <f>IFERROR(VALUE(RIGHT(Experiment_Plan!R7, LEN(Experiment_Plan!R7) - FIND(" ", Experiment_Plan!R7))), "")</f>
        <v/>
      </c>
      <c r="S7" s="4" t="str">
        <f>IFERROR(VALUE(RIGHT(Experiment_Plan!S7, LEN(Experiment_Plan!S7) - FIND(" ", Experiment_Plan!S7))), "")</f>
        <v/>
      </c>
      <c r="T7" s="4" t="str">
        <f>IFERROR(VALUE(RIGHT(Experiment_Plan!T7, LEN(Experiment_Plan!T7) - FIND(" ", Experiment_Plan!T7))), "")</f>
        <v/>
      </c>
      <c r="U7" s="4" t="str">
        <f>IFERROR(VALUE(RIGHT(Experiment_Plan!U7, LEN(Experiment_Plan!U7) - FIND(" ", Experiment_Plan!U7))), "")</f>
        <v/>
      </c>
      <c r="V7" s="4" t="str">
        <f>IFERROR(VALUE(RIGHT(Experiment_Plan!V7, LEN(Experiment_Plan!V7) - FIND(" ", Experiment_Plan!V7))), "")</f>
        <v/>
      </c>
      <c r="W7" s="4" t="str">
        <f>IFERROR(VALUE(RIGHT(Experiment_Plan!W7, LEN(Experiment_Plan!W7) - FIND(" ", Experiment_Plan!W7))), "")</f>
        <v/>
      </c>
      <c r="X7" s="4" t="str">
        <f>IFERROR(VALUE(RIGHT(Experiment_Plan!X7, LEN(Experiment_Plan!X7) - FIND(" ", Experiment_Plan!X7))), "")</f>
        <v/>
      </c>
      <c r="Y7" s="4" t="str">
        <f>IFERROR(VALUE(RIGHT(Experiment_Plan!Y7, LEN(Experiment_Plan!Y7) - FIND(" ", Experiment_Plan!Y7))), "")</f>
        <v/>
      </c>
      <c r="Z7" s="4" t="str">
        <f>IFERROR(VALUE(RIGHT(Experiment_Plan!Z7, LEN(Experiment_Plan!Z7) - FIND(" ", Experiment_Plan!Z7))), "")</f>
        <v/>
      </c>
      <c r="AA7" s="4" t="str">
        <f>IFERROR(VALUE(RIGHT(Experiment_Plan!AA7, LEN(Experiment_Plan!AA7) - FIND(" ", Experiment_Plan!AA7))), "")</f>
        <v/>
      </c>
      <c r="AB7" s="4" t="str">
        <f>IFERROR(VALUE(RIGHT(Experiment_Plan!AB7, LEN(Experiment_Plan!AB7) - FIND(" ", Experiment_Plan!AB7))), "")</f>
        <v/>
      </c>
      <c r="AC7" s="4" t="str">
        <f>IFERROR(VALUE(RIGHT(Experiment_Plan!AC7, LEN(Experiment_Plan!AC7) - FIND(" ", Experiment_Plan!AC7))), "")</f>
        <v/>
      </c>
      <c r="AD7" s="4" t="str">
        <f>IFERROR(VALUE(RIGHT(Experiment_Plan!AD7, LEN(Experiment_Plan!AD7) - FIND(" ", Experiment_Plan!AD7))), "")</f>
        <v/>
      </c>
      <c r="AE7" s="5" t="str">
        <f>IFERROR(VALUE(RIGHT(Experiment_Plan!AE7, LEN(Experiment_Plan!AE7) - FIND(" ", Experiment_Plan!AE7))), "")</f>
        <v/>
      </c>
    </row>
    <row r="8" spans="7:31" x14ac:dyDescent="0.2">
      <c r="G8" s="2" t="s">
        <v>1</v>
      </c>
      <c r="H8" s="10" t="str">
        <f>IFERROR(VALUE(RIGHT(Experiment_Plan!H8, LEN(Experiment_Plan!H8) - FIND(" ", Experiment_Plan!H8))), "")</f>
        <v/>
      </c>
      <c r="I8" s="2" t="str">
        <f>IFERROR(VALUE(RIGHT(Experiment_Plan!I8, LEN(Experiment_Plan!I8) - FIND(" ", Experiment_Plan!I8))), "")</f>
        <v/>
      </c>
      <c r="J8" s="2" t="str">
        <f>IFERROR(VALUE(RIGHT(Experiment_Plan!J8, LEN(Experiment_Plan!J8) - FIND(" ", Experiment_Plan!J8))), "")</f>
        <v/>
      </c>
      <c r="K8" s="2" t="str">
        <f>IFERROR(VALUE(RIGHT(Experiment_Plan!K8, LEN(Experiment_Plan!K8) - FIND(" ", Experiment_Plan!K8))), "")</f>
        <v/>
      </c>
      <c r="L8" s="2" t="str">
        <f>IFERROR(VALUE(RIGHT(Experiment_Plan!L8, LEN(Experiment_Plan!L8) - FIND(" ", Experiment_Plan!L8))), "")</f>
        <v/>
      </c>
      <c r="M8" s="2" t="str">
        <f>IFERROR(VALUE(RIGHT(Experiment_Plan!M8, LEN(Experiment_Plan!M8) - FIND(" ", Experiment_Plan!M8))), "")</f>
        <v/>
      </c>
      <c r="N8" s="2" t="str">
        <f>IFERROR(VALUE(RIGHT(Experiment_Plan!N8, LEN(Experiment_Plan!N8) - FIND(" ", Experiment_Plan!N8))), "")</f>
        <v/>
      </c>
      <c r="O8" s="2" t="str">
        <f>IFERROR(VALUE(RIGHT(Experiment_Plan!O8, LEN(Experiment_Plan!O8) - FIND(" ", Experiment_Plan!O8))), "")</f>
        <v/>
      </c>
      <c r="P8" s="2" t="str">
        <f>IFERROR(VALUE(RIGHT(Experiment_Plan!P8, LEN(Experiment_Plan!P8) - FIND(" ", Experiment_Plan!P8))), "")</f>
        <v/>
      </c>
      <c r="Q8" s="2" t="str">
        <f>IFERROR(VALUE(RIGHT(Experiment_Plan!Q8, LEN(Experiment_Plan!Q8) - FIND(" ", Experiment_Plan!Q8))), "")</f>
        <v/>
      </c>
      <c r="R8" s="2" t="str">
        <f>IFERROR(VALUE(RIGHT(Experiment_Plan!R8, LEN(Experiment_Plan!R8) - FIND(" ", Experiment_Plan!R8))), "")</f>
        <v/>
      </c>
      <c r="S8" s="2" t="str">
        <f>IFERROR(VALUE(RIGHT(Experiment_Plan!S8, LEN(Experiment_Plan!S8) - FIND(" ", Experiment_Plan!S8))), "")</f>
        <v/>
      </c>
      <c r="T8" s="2" t="str">
        <f>IFERROR(VALUE(RIGHT(Experiment_Plan!T8, LEN(Experiment_Plan!T8) - FIND(" ", Experiment_Plan!T8))), "")</f>
        <v/>
      </c>
      <c r="U8" s="2" t="str">
        <f>IFERROR(VALUE(RIGHT(Experiment_Plan!U8, LEN(Experiment_Plan!U8) - FIND(" ", Experiment_Plan!U8))), "")</f>
        <v/>
      </c>
      <c r="V8" s="2" t="str">
        <f>IFERROR(VALUE(RIGHT(Experiment_Plan!V8, LEN(Experiment_Plan!V8) - FIND(" ", Experiment_Plan!V8))), "")</f>
        <v/>
      </c>
      <c r="W8" s="2" t="str">
        <f>IFERROR(VALUE(RIGHT(Experiment_Plan!W8, LEN(Experiment_Plan!W8) - FIND(" ", Experiment_Plan!W8))), "")</f>
        <v/>
      </c>
      <c r="X8" s="2" t="str">
        <f>IFERROR(VALUE(RIGHT(Experiment_Plan!X8, LEN(Experiment_Plan!X8) - FIND(" ", Experiment_Plan!X8))), "")</f>
        <v/>
      </c>
      <c r="Y8" s="2" t="str">
        <f>IFERROR(VALUE(RIGHT(Experiment_Plan!Y8, LEN(Experiment_Plan!Y8) - FIND(" ", Experiment_Plan!Y8))), "")</f>
        <v/>
      </c>
      <c r="Z8" s="2" t="str">
        <f>IFERROR(VALUE(RIGHT(Experiment_Plan!Z8, LEN(Experiment_Plan!Z8) - FIND(" ", Experiment_Plan!Z8))), "")</f>
        <v/>
      </c>
      <c r="AA8" s="2" t="str">
        <f>IFERROR(VALUE(RIGHT(Experiment_Plan!AA8, LEN(Experiment_Plan!AA8) - FIND(" ", Experiment_Plan!AA8))), "")</f>
        <v/>
      </c>
      <c r="AB8" s="2" t="str">
        <f>IFERROR(VALUE(RIGHT(Experiment_Plan!AB8, LEN(Experiment_Plan!AB8) - FIND(" ", Experiment_Plan!AB8))), "")</f>
        <v/>
      </c>
      <c r="AC8" s="2" t="str">
        <f>IFERROR(VALUE(RIGHT(Experiment_Plan!AC8, LEN(Experiment_Plan!AC8) - FIND(" ", Experiment_Plan!AC8))), "")</f>
        <v/>
      </c>
      <c r="AD8" s="2" t="str">
        <f>IFERROR(VALUE(RIGHT(Experiment_Plan!AD8, LEN(Experiment_Plan!AD8) - FIND(" ", Experiment_Plan!AD8))), "")</f>
        <v/>
      </c>
      <c r="AE8" s="11" t="str">
        <f>IFERROR(VALUE(RIGHT(Experiment_Plan!AE8, LEN(Experiment_Plan!AE8) - FIND(" ", Experiment_Plan!AE8))), "")</f>
        <v/>
      </c>
    </row>
    <row r="9" spans="7:31" x14ac:dyDescent="0.2">
      <c r="G9" s="2" t="s">
        <v>2</v>
      </c>
      <c r="H9" s="10" t="str">
        <f>IFERROR(VALUE(RIGHT(Experiment_Plan!H9, LEN(Experiment_Plan!H9) - FIND(" ", Experiment_Plan!H9))), "")</f>
        <v/>
      </c>
      <c r="I9" s="2" t="str">
        <f>IFERROR(VALUE(RIGHT(Experiment_Plan!I9, LEN(Experiment_Plan!I9) - FIND(" ", Experiment_Plan!I9))), "")</f>
        <v/>
      </c>
      <c r="J9" s="2" t="str">
        <f>IFERROR(VALUE(RIGHT(Experiment_Plan!J9, LEN(Experiment_Plan!J9) - FIND(" ", Experiment_Plan!J9))), "")</f>
        <v/>
      </c>
      <c r="K9" s="2" t="str">
        <f>IFERROR(VALUE(RIGHT(Experiment_Plan!K9, LEN(Experiment_Plan!K9) - FIND(" ", Experiment_Plan!K9))), "")</f>
        <v/>
      </c>
      <c r="L9" s="2" t="str">
        <f>IFERROR(VALUE(RIGHT(Experiment_Plan!L9, LEN(Experiment_Plan!L9) - FIND(" ", Experiment_Plan!L9))), "")</f>
        <v/>
      </c>
      <c r="M9" s="2" t="str">
        <f>IFERROR(VALUE(RIGHT(Experiment_Plan!M9, LEN(Experiment_Plan!M9) - FIND(" ", Experiment_Plan!M9))), "")</f>
        <v/>
      </c>
      <c r="N9" s="2" t="str">
        <f>IFERROR(VALUE(RIGHT(Experiment_Plan!N9, LEN(Experiment_Plan!N9) - FIND(" ", Experiment_Plan!N9))), "")</f>
        <v/>
      </c>
      <c r="O9" s="2" t="str">
        <f>IFERROR(VALUE(RIGHT(Experiment_Plan!O9, LEN(Experiment_Plan!O9) - FIND(" ", Experiment_Plan!O9))), "")</f>
        <v/>
      </c>
      <c r="P9" s="2" t="str">
        <f>IFERROR(VALUE(RIGHT(Experiment_Plan!P9, LEN(Experiment_Plan!P9) - FIND(" ", Experiment_Plan!P9))), "")</f>
        <v/>
      </c>
      <c r="Q9" s="2" t="str">
        <f>IFERROR(VALUE(RIGHT(Experiment_Plan!Q9, LEN(Experiment_Plan!Q9) - FIND(" ", Experiment_Plan!Q9))), "")</f>
        <v/>
      </c>
      <c r="R9" s="2" t="str">
        <f>IFERROR(VALUE(RIGHT(Experiment_Plan!R9, LEN(Experiment_Plan!R9) - FIND(" ", Experiment_Plan!R9))), "")</f>
        <v/>
      </c>
      <c r="S9" s="2" t="str">
        <f>IFERROR(VALUE(RIGHT(Experiment_Plan!S9, LEN(Experiment_Plan!S9) - FIND(" ", Experiment_Plan!S9))), "")</f>
        <v/>
      </c>
      <c r="T9" s="2" t="str">
        <f>IFERROR(VALUE(RIGHT(Experiment_Plan!T9, LEN(Experiment_Plan!T9) - FIND(" ", Experiment_Plan!T9))), "")</f>
        <v/>
      </c>
      <c r="U9" s="2" t="str">
        <f>IFERROR(VALUE(RIGHT(Experiment_Plan!U9, LEN(Experiment_Plan!U9) - FIND(" ", Experiment_Plan!U9))), "")</f>
        <v/>
      </c>
      <c r="V9" s="2" t="str">
        <f>IFERROR(VALUE(RIGHT(Experiment_Plan!V9, LEN(Experiment_Plan!V9) - FIND(" ", Experiment_Plan!V9))), "")</f>
        <v/>
      </c>
      <c r="W9" s="2" t="str">
        <f>IFERROR(VALUE(RIGHT(Experiment_Plan!W9, LEN(Experiment_Plan!W9) - FIND(" ", Experiment_Plan!W9))), "")</f>
        <v/>
      </c>
      <c r="X9" s="2" t="str">
        <f>IFERROR(VALUE(RIGHT(Experiment_Plan!X9, LEN(Experiment_Plan!X9) - FIND(" ", Experiment_Plan!X9))), "")</f>
        <v/>
      </c>
      <c r="Y9" s="2" t="str">
        <f>IFERROR(VALUE(RIGHT(Experiment_Plan!Y9, LEN(Experiment_Plan!Y9) - FIND(" ", Experiment_Plan!Y9))), "")</f>
        <v/>
      </c>
      <c r="Z9" s="2" t="str">
        <f>IFERROR(VALUE(RIGHT(Experiment_Plan!Z9, LEN(Experiment_Plan!Z9) - FIND(" ", Experiment_Plan!Z9))), "")</f>
        <v/>
      </c>
      <c r="AA9" s="2" t="str">
        <f>IFERROR(VALUE(RIGHT(Experiment_Plan!AA9, LEN(Experiment_Plan!AA9) - FIND(" ", Experiment_Plan!AA9))), "")</f>
        <v/>
      </c>
      <c r="AB9" s="2" t="str">
        <f>IFERROR(VALUE(RIGHT(Experiment_Plan!AB9, LEN(Experiment_Plan!AB9) - FIND(" ", Experiment_Plan!AB9))), "")</f>
        <v/>
      </c>
      <c r="AC9" s="2" t="str">
        <f>IFERROR(VALUE(RIGHT(Experiment_Plan!AC9, LEN(Experiment_Plan!AC9) - FIND(" ", Experiment_Plan!AC9))), "")</f>
        <v/>
      </c>
      <c r="AD9" s="2" t="str">
        <f>IFERROR(VALUE(RIGHT(Experiment_Plan!AD9, LEN(Experiment_Plan!AD9) - FIND(" ", Experiment_Plan!AD9))), "")</f>
        <v/>
      </c>
      <c r="AE9" s="11" t="str">
        <f>IFERROR(VALUE(RIGHT(Experiment_Plan!AE9, LEN(Experiment_Plan!AE9) - FIND(" ", Experiment_Plan!AE9))), "")</f>
        <v/>
      </c>
    </row>
    <row r="10" spans="7:31" x14ac:dyDescent="0.2">
      <c r="G10" s="2" t="s">
        <v>3</v>
      </c>
      <c r="H10" s="10" t="str">
        <f>IFERROR(VALUE(RIGHT(Experiment_Plan!H10, LEN(Experiment_Plan!H10) - FIND(" ", Experiment_Plan!H10))), "")</f>
        <v/>
      </c>
      <c r="I10" s="2" t="str">
        <f>IFERROR(VALUE(RIGHT(Experiment_Plan!I10, LEN(Experiment_Plan!I10) - FIND(" ", Experiment_Plan!I10))), "")</f>
        <v/>
      </c>
      <c r="J10" s="2" t="str">
        <f>IFERROR(VALUE(RIGHT(Experiment_Plan!J10, LEN(Experiment_Plan!J10) - FIND(" ", Experiment_Plan!J10))), "")</f>
        <v/>
      </c>
      <c r="K10" s="2" t="str">
        <f>IFERROR(VALUE(RIGHT(Experiment_Plan!K10, LEN(Experiment_Plan!K10) - FIND(" ", Experiment_Plan!K10))), "")</f>
        <v/>
      </c>
      <c r="L10" s="2" t="str">
        <f>IFERROR(VALUE(RIGHT(Experiment_Plan!L10, LEN(Experiment_Plan!L10) - FIND(" ", Experiment_Plan!L10))), "")</f>
        <v/>
      </c>
      <c r="M10" s="2" t="str">
        <f>IFERROR(VALUE(RIGHT(Experiment_Plan!M10, LEN(Experiment_Plan!M10) - FIND(" ", Experiment_Plan!M10))), "")</f>
        <v/>
      </c>
      <c r="N10" s="2" t="str">
        <f>IFERROR(VALUE(RIGHT(Experiment_Plan!N10, LEN(Experiment_Plan!N10) - FIND(" ", Experiment_Plan!N10))), "")</f>
        <v/>
      </c>
      <c r="O10" s="2" t="str">
        <f>IFERROR(VALUE(RIGHT(Experiment_Plan!O10, LEN(Experiment_Plan!O10) - FIND(" ", Experiment_Plan!O10))), "")</f>
        <v/>
      </c>
      <c r="P10" s="2" t="str">
        <f>IFERROR(VALUE(RIGHT(Experiment_Plan!P10, LEN(Experiment_Plan!P10) - FIND(" ", Experiment_Plan!P10))), "")</f>
        <v/>
      </c>
      <c r="Q10" s="2" t="str">
        <f>IFERROR(VALUE(RIGHT(Experiment_Plan!Q10, LEN(Experiment_Plan!Q10) - FIND(" ", Experiment_Plan!Q10))), "")</f>
        <v/>
      </c>
      <c r="R10" s="2" t="str">
        <f>IFERROR(VALUE(RIGHT(Experiment_Plan!R10, LEN(Experiment_Plan!R10) - FIND(" ", Experiment_Plan!R10))), "")</f>
        <v/>
      </c>
      <c r="S10" s="2" t="str">
        <f>IFERROR(VALUE(RIGHT(Experiment_Plan!S10, LEN(Experiment_Plan!S10) - FIND(" ", Experiment_Plan!S10))), "")</f>
        <v/>
      </c>
      <c r="T10" s="2" t="str">
        <f>IFERROR(VALUE(RIGHT(Experiment_Plan!T10, LEN(Experiment_Plan!T10) - FIND(" ", Experiment_Plan!T10))), "")</f>
        <v/>
      </c>
      <c r="U10" s="2" t="str">
        <f>IFERROR(VALUE(RIGHT(Experiment_Plan!U10, LEN(Experiment_Plan!U10) - FIND(" ", Experiment_Plan!U10))), "")</f>
        <v/>
      </c>
      <c r="V10" s="2" t="str">
        <f>IFERROR(VALUE(RIGHT(Experiment_Plan!V10, LEN(Experiment_Plan!V10) - FIND(" ", Experiment_Plan!V10))), "")</f>
        <v/>
      </c>
      <c r="W10" s="2" t="str">
        <f>IFERROR(VALUE(RIGHT(Experiment_Plan!W10, LEN(Experiment_Plan!W10) - FIND(" ", Experiment_Plan!W10))), "")</f>
        <v/>
      </c>
      <c r="X10" s="2" t="str">
        <f>IFERROR(VALUE(RIGHT(Experiment_Plan!X10, LEN(Experiment_Plan!X10) - FIND(" ", Experiment_Plan!X10))), "")</f>
        <v/>
      </c>
      <c r="Y10" s="2" t="str">
        <f>IFERROR(VALUE(RIGHT(Experiment_Plan!Y10, LEN(Experiment_Plan!Y10) - FIND(" ", Experiment_Plan!Y10))), "")</f>
        <v/>
      </c>
      <c r="Z10" s="2" t="str">
        <f>IFERROR(VALUE(RIGHT(Experiment_Plan!Z10, LEN(Experiment_Plan!Z10) - FIND(" ", Experiment_Plan!Z10))), "")</f>
        <v/>
      </c>
      <c r="AA10" s="2" t="str">
        <f>IFERROR(VALUE(RIGHT(Experiment_Plan!AA10, LEN(Experiment_Plan!AA10) - FIND(" ", Experiment_Plan!AA10))), "")</f>
        <v/>
      </c>
      <c r="AB10" s="2" t="str">
        <f>IFERROR(VALUE(RIGHT(Experiment_Plan!AB10, LEN(Experiment_Plan!AB10) - FIND(" ", Experiment_Plan!AB10))), "")</f>
        <v/>
      </c>
      <c r="AC10" s="2" t="str">
        <f>IFERROR(VALUE(RIGHT(Experiment_Plan!AC10, LEN(Experiment_Plan!AC10) - FIND(" ", Experiment_Plan!AC10))), "")</f>
        <v/>
      </c>
      <c r="AD10" s="2" t="str">
        <f>IFERROR(VALUE(RIGHT(Experiment_Plan!AD10, LEN(Experiment_Plan!AD10) - FIND(" ", Experiment_Plan!AD10))), "")</f>
        <v/>
      </c>
      <c r="AE10" s="11" t="str">
        <f>IFERROR(VALUE(RIGHT(Experiment_Plan!AE10, LEN(Experiment_Plan!AE10) - FIND(" ", Experiment_Plan!AE10))), "")</f>
        <v/>
      </c>
    </row>
    <row r="11" spans="7:31" x14ac:dyDescent="0.2">
      <c r="G11" s="2" t="s">
        <v>4</v>
      </c>
      <c r="H11" s="10" t="str">
        <f>IFERROR(VALUE(RIGHT(Experiment_Plan!H11, LEN(Experiment_Plan!H11) - FIND(" ", Experiment_Plan!H11))), "")</f>
        <v/>
      </c>
      <c r="I11" s="2" t="str">
        <f>IFERROR(VALUE(RIGHT(Experiment_Plan!I11, LEN(Experiment_Plan!I11) - FIND(" ", Experiment_Plan!I11))), "")</f>
        <v/>
      </c>
      <c r="J11" s="2" t="str">
        <f>IFERROR(VALUE(RIGHT(Experiment_Plan!J11, LEN(Experiment_Plan!J11) - FIND(" ", Experiment_Plan!J11))), "")</f>
        <v/>
      </c>
      <c r="K11" s="2" t="str">
        <f>IFERROR(VALUE(RIGHT(Experiment_Plan!K11, LEN(Experiment_Plan!K11) - FIND(" ", Experiment_Plan!K11))), "")</f>
        <v/>
      </c>
      <c r="L11" s="2" t="str">
        <f>IFERROR(VALUE(RIGHT(Experiment_Plan!L11, LEN(Experiment_Plan!L11) - FIND(" ", Experiment_Plan!L11))), "")</f>
        <v/>
      </c>
      <c r="M11" s="2" t="str">
        <f>IFERROR(VALUE(RIGHT(Experiment_Plan!M11, LEN(Experiment_Plan!M11) - FIND(" ", Experiment_Plan!M11))), "")</f>
        <v/>
      </c>
      <c r="N11" s="2" t="str">
        <f>IFERROR(VALUE(RIGHT(Experiment_Plan!N11, LEN(Experiment_Plan!N11) - FIND(" ", Experiment_Plan!N11))), "")</f>
        <v/>
      </c>
      <c r="O11" s="2" t="str">
        <f>IFERROR(VALUE(RIGHT(Experiment_Plan!O11, LEN(Experiment_Plan!O11) - FIND(" ", Experiment_Plan!O11))), "")</f>
        <v/>
      </c>
      <c r="P11" s="2" t="str">
        <f>IFERROR(VALUE(RIGHT(Experiment_Plan!P11, LEN(Experiment_Plan!P11) - FIND(" ", Experiment_Plan!P11))), "")</f>
        <v/>
      </c>
      <c r="Q11" s="2" t="str">
        <f>IFERROR(VALUE(RIGHT(Experiment_Plan!Q11, LEN(Experiment_Plan!Q11) - FIND(" ", Experiment_Plan!Q11))), "")</f>
        <v/>
      </c>
      <c r="R11" s="2" t="str">
        <f>IFERROR(VALUE(RIGHT(Experiment_Plan!R11, LEN(Experiment_Plan!R11) - FIND(" ", Experiment_Plan!R11))), "")</f>
        <v/>
      </c>
      <c r="S11" s="2" t="str">
        <f>IFERROR(VALUE(RIGHT(Experiment_Plan!S11, LEN(Experiment_Plan!S11) - FIND(" ", Experiment_Plan!S11))), "")</f>
        <v/>
      </c>
      <c r="T11" s="2" t="str">
        <f>IFERROR(VALUE(RIGHT(Experiment_Plan!T11, LEN(Experiment_Plan!T11) - FIND(" ", Experiment_Plan!T11))), "")</f>
        <v/>
      </c>
      <c r="U11" s="2" t="str">
        <f>IFERROR(VALUE(RIGHT(Experiment_Plan!U11, LEN(Experiment_Plan!U11) - FIND(" ", Experiment_Plan!U11))), "")</f>
        <v/>
      </c>
      <c r="V11" s="2" t="str">
        <f>IFERROR(VALUE(RIGHT(Experiment_Plan!V11, LEN(Experiment_Plan!V11) - FIND(" ", Experiment_Plan!V11))), "")</f>
        <v/>
      </c>
      <c r="W11" s="2" t="str">
        <f>IFERROR(VALUE(RIGHT(Experiment_Plan!W11, LEN(Experiment_Plan!W11) - FIND(" ", Experiment_Plan!W11))), "")</f>
        <v/>
      </c>
      <c r="X11" s="2" t="str">
        <f>IFERROR(VALUE(RIGHT(Experiment_Plan!X11, LEN(Experiment_Plan!X11) - FIND(" ", Experiment_Plan!X11))), "")</f>
        <v/>
      </c>
      <c r="Y11" s="2" t="str">
        <f>IFERROR(VALUE(RIGHT(Experiment_Plan!Y11, LEN(Experiment_Plan!Y11) - FIND(" ", Experiment_Plan!Y11))), "")</f>
        <v/>
      </c>
      <c r="Z11" s="2" t="str">
        <f>IFERROR(VALUE(RIGHT(Experiment_Plan!Z11, LEN(Experiment_Plan!Z11) - FIND(" ", Experiment_Plan!Z11))), "")</f>
        <v/>
      </c>
      <c r="AA11" s="2" t="str">
        <f>IFERROR(VALUE(RIGHT(Experiment_Plan!AA11, LEN(Experiment_Plan!AA11) - FIND(" ", Experiment_Plan!AA11))), "")</f>
        <v/>
      </c>
      <c r="AB11" s="2" t="str">
        <f>IFERROR(VALUE(RIGHT(Experiment_Plan!AB11, LEN(Experiment_Plan!AB11) - FIND(" ", Experiment_Plan!AB11))), "")</f>
        <v/>
      </c>
      <c r="AC11" s="2" t="str">
        <f>IFERROR(VALUE(RIGHT(Experiment_Plan!AC11, LEN(Experiment_Plan!AC11) - FIND(" ", Experiment_Plan!AC11))), "")</f>
        <v/>
      </c>
      <c r="AD11" s="2" t="str">
        <f>IFERROR(VALUE(RIGHT(Experiment_Plan!AD11, LEN(Experiment_Plan!AD11) - FIND(" ", Experiment_Plan!AD11))), "")</f>
        <v/>
      </c>
      <c r="AE11" s="11" t="str">
        <f>IFERROR(VALUE(RIGHT(Experiment_Plan!AE11, LEN(Experiment_Plan!AE11) - FIND(" ", Experiment_Plan!AE11))), "")</f>
        <v/>
      </c>
    </row>
    <row r="12" spans="7:31" x14ac:dyDescent="0.2">
      <c r="G12" s="2" t="s">
        <v>5</v>
      </c>
      <c r="H12" s="10" t="str">
        <f>IFERROR(VALUE(RIGHT(Experiment_Plan!H12, LEN(Experiment_Plan!H12) - FIND(" ", Experiment_Plan!H12))), "")</f>
        <v/>
      </c>
      <c r="I12" s="2" t="str">
        <f>IFERROR(VALUE(RIGHT(Experiment_Plan!I12, LEN(Experiment_Plan!I12) - FIND(" ", Experiment_Plan!I12))), "")</f>
        <v/>
      </c>
      <c r="J12" s="2" t="str">
        <f>IFERROR(VALUE(RIGHT(Experiment_Plan!J12, LEN(Experiment_Plan!J12) - FIND(" ", Experiment_Plan!J12))), "")</f>
        <v/>
      </c>
      <c r="K12" s="2" t="str">
        <f>IFERROR(VALUE(RIGHT(Experiment_Plan!K12, LEN(Experiment_Plan!K12) - FIND(" ", Experiment_Plan!K12))), "")</f>
        <v/>
      </c>
      <c r="L12" s="2" t="str">
        <f>IFERROR(VALUE(RIGHT(Experiment_Plan!L12, LEN(Experiment_Plan!L12) - FIND(" ", Experiment_Plan!L12))), "")</f>
        <v/>
      </c>
      <c r="M12" s="2" t="str">
        <f>IFERROR(VALUE(RIGHT(Experiment_Plan!M12, LEN(Experiment_Plan!M12) - FIND(" ", Experiment_Plan!M12))), "")</f>
        <v/>
      </c>
      <c r="N12" s="2" t="str">
        <f>IFERROR(VALUE(RIGHT(Experiment_Plan!N12, LEN(Experiment_Plan!N12) - FIND(" ", Experiment_Plan!N12))), "")</f>
        <v/>
      </c>
      <c r="O12" s="2" t="str">
        <f>IFERROR(VALUE(RIGHT(Experiment_Plan!O12, LEN(Experiment_Plan!O12) - FIND(" ", Experiment_Plan!O12))), "")</f>
        <v/>
      </c>
      <c r="P12" s="2" t="str">
        <f>IFERROR(VALUE(RIGHT(Experiment_Plan!P12, LEN(Experiment_Plan!P12) - FIND(" ", Experiment_Plan!P12))), "")</f>
        <v/>
      </c>
      <c r="Q12" s="2" t="str">
        <f>IFERROR(VALUE(RIGHT(Experiment_Plan!Q12, LEN(Experiment_Plan!Q12) - FIND(" ", Experiment_Plan!Q12))), "")</f>
        <v/>
      </c>
      <c r="R12" s="2" t="str">
        <f>IFERROR(VALUE(RIGHT(Experiment_Plan!R12, LEN(Experiment_Plan!R12) - FIND(" ", Experiment_Plan!R12))), "")</f>
        <v/>
      </c>
      <c r="S12" s="2" t="str">
        <f>IFERROR(VALUE(RIGHT(Experiment_Plan!S12, LEN(Experiment_Plan!S12) - FIND(" ", Experiment_Plan!S12))), "")</f>
        <v/>
      </c>
      <c r="T12" s="2" t="str">
        <f>IFERROR(VALUE(RIGHT(Experiment_Plan!T12, LEN(Experiment_Plan!T12) - FIND(" ", Experiment_Plan!T12))), "")</f>
        <v/>
      </c>
      <c r="U12" s="2" t="str">
        <f>IFERROR(VALUE(RIGHT(Experiment_Plan!U12, LEN(Experiment_Plan!U12) - FIND(" ", Experiment_Plan!U12))), "")</f>
        <v/>
      </c>
      <c r="V12" s="2" t="str">
        <f>IFERROR(VALUE(RIGHT(Experiment_Plan!V12, LEN(Experiment_Plan!V12) - FIND(" ", Experiment_Plan!V12))), "")</f>
        <v/>
      </c>
      <c r="W12" s="2" t="str">
        <f>IFERROR(VALUE(RIGHT(Experiment_Plan!W12, LEN(Experiment_Plan!W12) - FIND(" ", Experiment_Plan!W12))), "")</f>
        <v/>
      </c>
      <c r="X12" s="2" t="str">
        <f>IFERROR(VALUE(RIGHT(Experiment_Plan!X12, LEN(Experiment_Plan!X12) - FIND(" ", Experiment_Plan!X12))), "")</f>
        <v/>
      </c>
      <c r="Y12" s="2" t="str">
        <f>IFERROR(VALUE(RIGHT(Experiment_Plan!Y12, LEN(Experiment_Plan!Y12) - FIND(" ", Experiment_Plan!Y12))), "")</f>
        <v/>
      </c>
      <c r="Z12" s="2" t="str">
        <f>IFERROR(VALUE(RIGHT(Experiment_Plan!Z12, LEN(Experiment_Plan!Z12) - FIND(" ", Experiment_Plan!Z12))), "")</f>
        <v/>
      </c>
      <c r="AA12" s="2" t="str">
        <f>IFERROR(VALUE(RIGHT(Experiment_Plan!AA12, LEN(Experiment_Plan!AA12) - FIND(" ", Experiment_Plan!AA12))), "")</f>
        <v/>
      </c>
      <c r="AB12" s="2" t="str">
        <f>IFERROR(VALUE(RIGHT(Experiment_Plan!AB12, LEN(Experiment_Plan!AB12) - FIND(" ", Experiment_Plan!AB12))), "")</f>
        <v/>
      </c>
      <c r="AC12" s="2" t="str">
        <f>IFERROR(VALUE(RIGHT(Experiment_Plan!AC12, LEN(Experiment_Plan!AC12) - FIND(" ", Experiment_Plan!AC12))), "")</f>
        <v/>
      </c>
      <c r="AD12" s="2" t="str">
        <f>IFERROR(VALUE(RIGHT(Experiment_Plan!AD12, LEN(Experiment_Plan!AD12) - FIND(" ", Experiment_Plan!AD12))), "")</f>
        <v/>
      </c>
      <c r="AE12" s="11" t="str">
        <f>IFERROR(VALUE(RIGHT(Experiment_Plan!AE12, LEN(Experiment_Plan!AE12) - FIND(" ", Experiment_Plan!AE12))), "")</f>
        <v/>
      </c>
    </row>
    <row r="13" spans="7:31" x14ac:dyDescent="0.2">
      <c r="G13" s="2" t="s">
        <v>6</v>
      </c>
      <c r="H13" s="10" t="str">
        <f>IFERROR(VALUE(RIGHT(Experiment_Plan!H13, LEN(Experiment_Plan!H13) - FIND(" ", Experiment_Plan!H13))), "")</f>
        <v/>
      </c>
      <c r="I13" s="2" t="str">
        <f>IFERROR(VALUE(RIGHT(Experiment_Plan!I13, LEN(Experiment_Plan!I13) - FIND(" ", Experiment_Plan!I13))), "")</f>
        <v/>
      </c>
      <c r="J13" s="2" t="str">
        <f>IFERROR(VALUE(RIGHT(Experiment_Plan!J13, LEN(Experiment_Plan!J13) - FIND(" ", Experiment_Plan!J13))), "")</f>
        <v/>
      </c>
      <c r="K13" s="2" t="str">
        <f>IFERROR(VALUE(RIGHT(Experiment_Plan!K13, LEN(Experiment_Plan!K13) - FIND(" ", Experiment_Plan!K13))), "")</f>
        <v/>
      </c>
      <c r="L13" s="2" t="str">
        <f>IFERROR(VALUE(RIGHT(Experiment_Plan!L13, LEN(Experiment_Plan!L13) - FIND(" ", Experiment_Plan!L13))), "")</f>
        <v/>
      </c>
      <c r="M13" s="2" t="str">
        <f>IFERROR(VALUE(RIGHT(Experiment_Plan!M13, LEN(Experiment_Plan!M13) - FIND(" ", Experiment_Plan!M13))), "")</f>
        <v/>
      </c>
      <c r="N13" s="2" t="str">
        <f>IFERROR(VALUE(RIGHT(Experiment_Plan!N13, LEN(Experiment_Plan!N13) - FIND(" ", Experiment_Plan!N13))), "")</f>
        <v/>
      </c>
      <c r="O13" s="2" t="str">
        <f>IFERROR(VALUE(RIGHT(Experiment_Plan!O13, LEN(Experiment_Plan!O13) - FIND(" ", Experiment_Plan!O13))), "")</f>
        <v/>
      </c>
      <c r="P13" s="2" t="str">
        <f>IFERROR(VALUE(RIGHT(Experiment_Plan!P13, LEN(Experiment_Plan!P13) - FIND(" ", Experiment_Plan!P13))), "")</f>
        <v/>
      </c>
      <c r="Q13" s="2" t="str">
        <f>IFERROR(VALUE(RIGHT(Experiment_Plan!Q13, LEN(Experiment_Plan!Q13) - FIND(" ", Experiment_Plan!Q13))), "")</f>
        <v/>
      </c>
      <c r="R13" s="2" t="str">
        <f>IFERROR(VALUE(RIGHT(Experiment_Plan!R13, LEN(Experiment_Plan!R13) - FIND(" ", Experiment_Plan!R13))), "")</f>
        <v/>
      </c>
      <c r="S13" s="2" t="str">
        <f>IFERROR(VALUE(RIGHT(Experiment_Plan!S13, LEN(Experiment_Plan!S13) - FIND(" ", Experiment_Plan!S13))), "")</f>
        <v/>
      </c>
      <c r="T13" s="2" t="str">
        <f>IFERROR(VALUE(RIGHT(Experiment_Plan!T13, LEN(Experiment_Plan!T13) - FIND(" ", Experiment_Plan!T13))), "")</f>
        <v/>
      </c>
      <c r="U13" s="2" t="str">
        <f>IFERROR(VALUE(RIGHT(Experiment_Plan!U13, LEN(Experiment_Plan!U13) - FIND(" ", Experiment_Plan!U13))), "")</f>
        <v/>
      </c>
      <c r="V13" s="2" t="str">
        <f>IFERROR(VALUE(RIGHT(Experiment_Plan!V13, LEN(Experiment_Plan!V13) - FIND(" ", Experiment_Plan!V13))), "")</f>
        <v/>
      </c>
      <c r="W13" s="2" t="str">
        <f>IFERROR(VALUE(RIGHT(Experiment_Plan!W13, LEN(Experiment_Plan!W13) - FIND(" ", Experiment_Plan!W13))), "")</f>
        <v/>
      </c>
      <c r="X13" s="2" t="str">
        <f>IFERROR(VALUE(RIGHT(Experiment_Plan!X13, LEN(Experiment_Plan!X13) - FIND(" ", Experiment_Plan!X13))), "")</f>
        <v/>
      </c>
      <c r="Y13" s="2" t="str">
        <f>IFERROR(VALUE(RIGHT(Experiment_Plan!Y13, LEN(Experiment_Plan!Y13) - FIND(" ", Experiment_Plan!Y13))), "")</f>
        <v/>
      </c>
      <c r="Z13" s="2" t="str">
        <f>IFERROR(VALUE(RIGHT(Experiment_Plan!Z13, LEN(Experiment_Plan!Z13) - FIND(" ", Experiment_Plan!Z13))), "")</f>
        <v/>
      </c>
      <c r="AA13" s="2" t="str">
        <f>IFERROR(VALUE(RIGHT(Experiment_Plan!AA13, LEN(Experiment_Plan!AA13) - FIND(" ", Experiment_Plan!AA13))), "")</f>
        <v/>
      </c>
      <c r="AB13" s="2" t="str">
        <f>IFERROR(VALUE(RIGHT(Experiment_Plan!AB13, LEN(Experiment_Plan!AB13) - FIND(" ", Experiment_Plan!AB13))), "")</f>
        <v/>
      </c>
      <c r="AC13" s="2" t="str">
        <f>IFERROR(VALUE(RIGHT(Experiment_Plan!AC13, LEN(Experiment_Plan!AC13) - FIND(" ", Experiment_Plan!AC13))), "")</f>
        <v/>
      </c>
      <c r="AD13" s="2" t="str">
        <f>IFERROR(VALUE(RIGHT(Experiment_Plan!AD13, LEN(Experiment_Plan!AD13) - FIND(" ", Experiment_Plan!AD13))), "")</f>
        <v/>
      </c>
      <c r="AE13" s="11" t="str">
        <f>IFERROR(VALUE(RIGHT(Experiment_Plan!AE13, LEN(Experiment_Plan!AE13) - FIND(" ", Experiment_Plan!AE13))), "")</f>
        <v/>
      </c>
    </row>
    <row r="14" spans="7:31" x14ac:dyDescent="0.2">
      <c r="G14" s="2" t="s">
        <v>7</v>
      </c>
      <c r="H14" s="10" t="str">
        <f>IFERROR(VALUE(RIGHT(Experiment_Plan!H14, LEN(Experiment_Plan!H14) - FIND(" ", Experiment_Plan!H14))), "")</f>
        <v/>
      </c>
      <c r="I14" s="2" t="str">
        <f>IFERROR(VALUE(RIGHT(Experiment_Plan!I14, LEN(Experiment_Plan!I14) - FIND(" ", Experiment_Plan!I14))), "")</f>
        <v/>
      </c>
      <c r="J14" s="2" t="str">
        <f>IFERROR(VALUE(RIGHT(Experiment_Plan!J14, LEN(Experiment_Plan!J14) - FIND(" ", Experiment_Plan!J14))), "")</f>
        <v/>
      </c>
      <c r="K14" s="2" t="str">
        <f>IFERROR(VALUE(RIGHT(Experiment_Plan!K14, LEN(Experiment_Plan!K14) - FIND(" ", Experiment_Plan!K14))), "")</f>
        <v/>
      </c>
      <c r="L14" s="2" t="str">
        <f>IFERROR(VALUE(RIGHT(Experiment_Plan!L14, LEN(Experiment_Plan!L14) - FIND(" ", Experiment_Plan!L14))), "")</f>
        <v/>
      </c>
      <c r="M14" s="2" t="str">
        <f>IFERROR(VALUE(RIGHT(Experiment_Plan!M14, LEN(Experiment_Plan!M14) - FIND(" ", Experiment_Plan!M14))), "")</f>
        <v/>
      </c>
      <c r="N14" s="2" t="str">
        <f>IFERROR(VALUE(RIGHT(Experiment_Plan!N14, LEN(Experiment_Plan!N14) - FIND(" ", Experiment_Plan!N14))), "")</f>
        <v/>
      </c>
      <c r="O14" s="2" t="str">
        <f>IFERROR(VALUE(RIGHT(Experiment_Plan!O14, LEN(Experiment_Plan!O14) - FIND(" ", Experiment_Plan!O14))), "")</f>
        <v/>
      </c>
      <c r="P14" s="2" t="str">
        <f>IFERROR(VALUE(RIGHT(Experiment_Plan!P14, LEN(Experiment_Plan!P14) - FIND(" ", Experiment_Plan!P14))), "")</f>
        <v/>
      </c>
      <c r="Q14" s="2" t="str">
        <f>IFERROR(VALUE(RIGHT(Experiment_Plan!Q14, LEN(Experiment_Plan!Q14) - FIND(" ", Experiment_Plan!Q14))), "")</f>
        <v/>
      </c>
      <c r="R14" s="2" t="str">
        <f>IFERROR(VALUE(RIGHT(Experiment_Plan!R14, LEN(Experiment_Plan!R14) - FIND(" ", Experiment_Plan!R14))), "")</f>
        <v/>
      </c>
      <c r="S14" s="2" t="str">
        <f>IFERROR(VALUE(RIGHT(Experiment_Plan!S14, LEN(Experiment_Plan!S14) - FIND(" ", Experiment_Plan!S14))), "")</f>
        <v/>
      </c>
      <c r="T14" s="2" t="str">
        <f>IFERROR(VALUE(RIGHT(Experiment_Plan!T14, LEN(Experiment_Plan!T14) - FIND(" ", Experiment_Plan!T14))), "")</f>
        <v/>
      </c>
      <c r="U14" s="2" t="str">
        <f>IFERROR(VALUE(RIGHT(Experiment_Plan!U14, LEN(Experiment_Plan!U14) - FIND(" ", Experiment_Plan!U14))), "")</f>
        <v/>
      </c>
      <c r="V14" s="2" t="str">
        <f>IFERROR(VALUE(RIGHT(Experiment_Plan!V14, LEN(Experiment_Plan!V14) - FIND(" ", Experiment_Plan!V14))), "")</f>
        <v/>
      </c>
      <c r="W14" s="2" t="str">
        <f>IFERROR(VALUE(RIGHT(Experiment_Plan!W14, LEN(Experiment_Plan!W14) - FIND(" ", Experiment_Plan!W14))), "")</f>
        <v/>
      </c>
      <c r="X14" s="2" t="str">
        <f>IFERROR(VALUE(RIGHT(Experiment_Plan!X14, LEN(Experiment_Plan!X14) - FIND(" ", Experiment_Plan!X14))), "")</f>
        <v/>
      </c>
      <c r="Y14" s="2" t="str">
        <f>IFERROR(VALUE(RIGHT(Experiment_Plan!Y14, LEN(Experiment_Plan!Y14) - FIND(" ", Experiment_Plan!Y14))), "")</f>
        <v/>
      </c>
      <c r="Z14" s="2" t="str">
        <f>IFERROR(VALUE(RIGHT(Experiment_Plan!Z14, LEN(Experiment_Plan!Z14) - FIND(" ", Experiment_Plan!Z14))), "")</f>
        <v/>
      </c>
      <c r="AA14" s="2" t="str">
        <f>IFERROR(VALUE(RIGHT(Experiment_Plan!AA14, LEN(Experiment_Plan!AA14) - FIND(" ", Experiment_Plan!AA14))), "")</f>
        <v/>
      </c>
      <c r="AB14" s="2" t="str">
        <f>IFERROR(VALUE(RIGHT(Experiment_Plan!AB14, LEN(Experiment_Plan!AB14) - FIND(" ", Experiment_Plan!AB14))), "")</f>
        <v/>
      </c>
      <c r="AC14" s="2" t="str">
        <f>IFERROR(VALUE(RIGHT(Experiment_Plan!AC14, LEN(Experiment_Plan!AC14) - FIND(" ", Experiment_Plan!AC14))), "")</f>
        <v/>
      </c>
      <c r="AD14" s="2" t="str">
        <f>IFERROR(VALUE(RIGHT(Experiment_Plan!AD14, LEN(Experiment_Plan!AD14) - FIND(" ", Experiment_Plan!AD14))), "")</f>
        <v/>
      </c>
      <c r="AE14" s="11" t="str">
        <f>IFERROR(VALUE(RIGHT(Experiment_Plan!AE14, LEN(Experiment_Plan!AE14) - FIND(" ", Experiment_Plan!AE14))), "")</f>
        <v/>
      </c>
    </row>
    <row r="15" spans="7:31" x14ac:dyDescent="0.2">
      <c r="G15" s="2" t="s">
        <v>8</v>
      </c>
      <c r="H15" s="10" t="str">
        <f>IFERROR(VALUE(RIGHT(Experiment_Plan!H15, LEN(Experiment_Plan!H15) - FIND(" ", Experiment_Plan!H15))), "")</f>
        <v/>
      </c>
      <c r="I15" s="2" t="str">
        <f>IFERROR(VALUE(RIGHT(Experiment_Plan!I15, LEN(Experiment_Plan!I15) - FIND(" ", Experiment_Plan!I15))), "")</f>
        <v/>
      </c>
      <c r="J15" s="2" t="str">
        <f>IFERROR(VALUE(RIGHT(Experiment_Plan!J15, LEN(Experiment_Plan!J15) - FIND(" ", Experiment_Plan!J15))), "")</f>
        <v/>
      </c>
      <c r="K15" s="2" t="str">
        <f>IFERROR(VALUE(RIGHT(Experiment_Plan!K15, LEN(Experiment_Plan!K15) - FIND(" ", Experiment_Plan!K15))), "")</f>
        <v/>
      </c>
      <c r="L15" s="2" t="str">
        <f>IFERROR(VALUE(RIGHT(Experiment_Plan!L15, LEN(Experiment_Plan!L15) - FIND(" ", Experiment_Plan!L15))), "")</f>
        <v/>
      </c>
      <c r="M15" s="2" t="str">
        <f>IFERROR(VALUE(RIGHT(Experiment_Plan!M15, LEN(Experiment_Plan!M15) - FIND(" ", Experiment_Plan!M15))), "")</f>
        <v/>
      </c>
      <c r="N15" s="2" t="str">
        <f>IFERROR(VALUE(RIGHT(Experiment_Plan!N15, LEN(Experiment_Plan!N15) - FIND(" ", Experiment_Plan!N15))), "")</f>
        <v/>
      </c>
      <c r="O15" s="2" t="str">
        <f>IFERROR(VALUE(RIGHT(Experiment_Plan!O15, LEN(Experiment_Plan!O15) - FIND(" ", Experiment_Plan!O15))), "")</f>
        <v/>
      </c>
      <c r="P15" s="2" t="str">
        <f>IFERROR(VALUE(RIGHT(Experiment_Plan!P15, LEN(Experiment_Plan!P15) - FIND(" ", Experiment_Plan!P15))), "")</f>
        <v/>
      </c>
      <c r="Q15" s="2" t="str">
        <f>IFERROR(VALUE(RIGHT(Experiment_Plan!Q15, LEN(Experiment_Plan!Q15) - FIND(" ", Experiment_Plan!Q15))), "")</f>
        <v/>
      </c>
      <c r="R15" s="2" t="str">
        <f>IFERROR(VALUE(RIGHT(Experiment_Plan!R15, LEN(Experiment_Plan!R15) - FIND(" ", Experiment_Plan!R15))), "")</f>
        <v/>
      </c>
      <c r="S15" s="2" t="str">
        <f>IFERROR(VALUE(RIGHT(Experiment_Plan!S15, LEN(Experiment_Plan!S15) - FIND(" ", Experiment_Plan!S15))), "")</f>
        <v/>
      </c>
      <c r="T15" s="2" t="str">
        <f>IFERROR(VALUE(RIGHT(Experiment_Plan!T15, LEN(Experiment_Plan!T15) - FIND(" ", Experiment_Plan!T15))), "")</f>
        <v/>
      </c>
      <c r="U15" s="2" t="str">
        <f>IFERROR(VALUE(RIGHT(Experiment_Plan!U15, LEN(Experiment_Plan!U15) - FIND(" ", Experiment_Plan!U15))), "")</f>
        <v/>
      </c>
      <c r="V15" s="2" t="str">
        <f>IFERROR(VALUE(RIGHT(Experiment_Plan!V15, LEN(Experiment_Plan!V15) - FIND(" ", Experiment_Plan!V15))), "")</f>
        <v/>
      </c>
      <c r="W15" s="2" t="str">
        <f>IFERROR(VALUE(RIGHT(Experiment_Plan!W15, LEN(Experiment_Plan!W15) - FIND(" ", Experiment_Plan!W15))), "")</f>
        <v/>
      </c>
      <c r="X15" s="2" t="str">
        <f>IFERROR(VALUE(RIGHT(Experiment_Plan!X15, LEN(Experiment_Plan!X15) - FIND(" ", Experiment_Plan!X15))), "")</f>
        <v/>
      </c>
      <c r="Y15" s="2" t="str">
        <f>IFERROR(VALUE(RIGHT(Experiment_Plan!Y15, LEN(Experiment_Plan!Y15) - FIND(" ", Experiment_Plan!Y15))), "")</f>
        <v/>
      </c>
      <c r="Z15" s="2" t="str">
        <f>IFERROR(VALUE(RIGHT(Experiment_Plan!Z15, LEN(Experiment_Plan!Z15) - FIND(" ", Experiment_Plan!Z15))), "")</f>
        <v/>
      </c>
      <c r="AA15" s="2" t="str">
        <f>IFERROR(VALUE(RIGHT(Experiment_Plan!AA15, LEN(Experiment_Plan!AA15) - FIND(" ", Experiment_Plan!AA15))), "")</f>
        <v/>
      </c>
      <c r="AB15" s="2" t="str">
        <f>IFERROR(VALUE(RIGHT(Experiment_Plan!AB15, LEN(Experiment_Plan!AB15) - FIND(" ", Experiment_Plan!AB15))), "")</f>
        <v/>
      </c>
      <c r="AC15" s="2" t="str">
        <f>IFERROR(VALUE(RIGHT(Experiment_Plan!AC15, LEN(Experiment_Plan!AC15) - FIND(" ", Experiment_Plan!AC15))), "")</f>
        <v/>
      </c>
      <c r="AD15" s="2" t="str">
        <f>IFERROR(VALUE(RIGHT(Experiment_Plan!AD15, LEN(Experiment_Plan!AD15) - FIND(" ", Experiment_Plan!AD15))), "")</f>
        <v/>
      </c>
      <c r="AE15" s="11" t="str">
        <f>IFERROR(VALUE(RIGHT(Experiment_Plan!AE15, LEN(Experiment_Plan!AE15) - FIND(" ", Experiment_Plan!AE15))), "")</f>
        <v/>
      </c>
    </row>
    <row r="16" spans="7:31" x14ac:dyDescent="0.2">
      <c r="G16" s="2" t="s">
        <v>9</v>
      </c>
      <c r="H16" s="10" t="str">
        <f>IFERROR(VALUE(RIGHT(Experiment_Plan!H16, LEN(Experiment_Plan!H16) - FIND(" ", Experiment_Plan!H16))), "")</f>
        <v/>
      </c>
      <c r="I16" s="2" t="str">
        <f>IFERROR(VALUE(RIGHT(Experiment_Plan!I16, LEN(Experiment_Plan!I16) - FIND(" ", Experiment_Plan!I16))), "")</f>
        <v/>
      </c>
      <c r="J16" s="2" t="str">
        <f>IFERROR(VALUE(RIGHT(Experiment_Plan!J16, LEN(Experiment_Plan!J16) - FIND(" ", Experiment_Plan!J16))), "")</f>
        <v/>
      </c>
      <c r="K16" s="2" t="str">
        <f>IFERROR(VALUE(RIGHT(Experiment_Plan!K16, LEN(Experiment_Plan!K16) - FIND(" ", Experiment_Plan!K16))), "")</f>
        <v/>
      </c>
      <c r="L16" s="2" t="str">
        <f>IFERROR(VALUE(RIGHT(Experiment_Plan!L16, LEN(Experiment_Plan!L16) - FIND(" ", Experiment_Plan!L16))), "")</f>
        <v/>
      </c>
      <c r="M16" s="2" t="str">
        <f>IFERROR(VALUE(RIGHT(Experiment_Plan!M16, LEN(Experiment_Plan!M16) - FIND(" ", Experiment_Plan!M16))), "")</f>
        <v/>
      </c>
      <c r="N16" s="2" t="str">
        <f>IFERROR(VALUE(RIGHT(Experiment_Plan!N16, LEN(Experiment_Plan!N16) - FIND(" ", Experiment_Plan!N16))), "")</f>
        <v/>
      </c>
      <c r="O16" s="2" t="str">
        <f>IFERROR(VALUE(RIGHT(Experiment_Plan!O16, LEN(Experiment_Plan!O16) - FIND(" ", Experiment_Plan!O16))), "")</f>
        <v/>
      </c>
      <c r="P16" s="2" t="str">
        <f>IFERROR(VALUE(RIGHT(Experiment_Plan!P16, LEN(Experiment_Plan!P16) - FIND(" ", Experiment_Plan!P16))), "")</f>
        <v/>
      </c>
      <c r="Q16" s="2" t="str">
        <f>IFERROR(VALUE(RIGHT(Experiment_Plan!Q16, LEN(Experiment_Plan!Q16) - FIND(" ", Experiment_Plan!Q16))), "")</f>
        <v/>
      </c>
      <c r="R16" s="2" t="str">
        <f>IFERROR(VALUE(RIGHT(Experiment_Plan!R16, LEN(Experiment_Plan!R16) - FIND(" ", Experiment_Plan!R16))), "")</f>
        <v/>
      </c>
      <c r="S16" s="2" t="str">
        <f>IFERROR(VALUE(RIGHT(Experiment_Plan!S16, LEN(Experiment_Plan!S16) - FIND(" ", Experiment_Plan!S16))), "")</f>
        <v/>
      </c>
      <c r="T16" s="2" t="str">
        <f>IFERROR(VALUE(RIGHT(Experiment_Plan!T16, LEN(Experiment_Plan!T16) - FIND(" ", Experiment_Plan!T16))), "")</f>
        <v/>
      </c>
      <c r="U16" s="2" t="str">
        <f>IFERROR(VALUE(RIGHT(Experiment_Plan!U16, LEN(Experiment_Plan!U16) - FIND(" ", Experiment_Plan!U16))), "")</f>
        <v/>
      </c>
      <c r="V16" s="2" t="str">
        <f>IFERROR(VALUE(RIGHT(Experiment_Plan!V16, LEN(Experiment_Plan!V16) - FIND(" ", Experiment_Plan!V16))), "")</f>
        <v/>
      </c>
      <c r="W16" s="2" t="str">
        <f>IFERROR(VALUE(RIGHT(Experiment_Plan!W16, LEN(Experiment_Plan!W16) - FIND(" ", Experiment_Plan!W16))), "")</f>
        <v/>
      </c>
      <c r="X16" s="2" t="str">
        <f>IFERROR(VALUE(RIGHT(Experiment_Plan!X16, LEN(Experiment_Plan!X16) - FIND(" ", Experiment_Plan!X16))), "")</f>
        <v/>
      </c>
      <c r="Y16" s="2" t="str">
        <f>IFERROR(VALUE(RIGHT(Experiment_Plan!Y16, LEN(Experiment_Plan!Y16) - FIND(" ", Experiment_Plan!Y16))), "")</f>
        <v/>
      </c>
      <c r="Z16" s="2" t="str">
        <f>IFERROR(VALUE(RIGHT(Experiment_Plan!Z16, LEN(Experiment_Plan!Z16) - FIND(" ", Experiment_Plan!Z16))), "")</f>
        <v/>
      </c>
      <c r="AA16" s="2" t="str">
        <f>IFERROR(VALUE(RIGHT(Experiment_Plan!AA16, LEN(Experiment_Plan!AA16) - FIND(" ", Experiment_Plan!AA16))), "")</f>
        <v/>
      </c>
      <c r="AB16" s="2" t="str">
        <f>IFERROR(VALUE(RIGHT(Experiment_Plan!AB16, LEN(Experiment_Plan!AB16) - FIND(" ", Experiment_Plan!AB16))), "")</f>
        <v/>
      </c>
      <c r="AC16" s="2" t="str">
        <f>IFERROR(VALUE(RIGHT(Experiment_Plan!AC16, LEN(Experiment_Plan!AC16) - FIND(" ", Experiment_Plan!AC16))), "")</f>
        <v/>
      </c>
      <c r="AD16" s="2" t="str">
        <f>IFERROR(VALUE(RIGHT(Experiment_Plan!AD16, LEN(Experiment_Plan!AD16) - FIND(" ", Experiment_Plan!AD16))), "")</f>
        <v/>
      </c>
      <c r="AE16" s="11" t="str">
        <f>IFERROR(VALUE(RIGHT(Experiment_Plan!AE16, LEN(Experiment_Plan!AE16) - FIND(" ", Experiment_Plan!AE16))), "")</f>
        <v/>
      </c>
    </row>
    <row r="17" spans="7:31" x14ac:dyDescent="0.2">
      <c r="G17" s="2" t="s">
        <v>10</v>
      </c>
      <c r="H17" s="10" t="str">
        <f>IFERROR(VALUE(RIGHT(Experiment_Plan!H17, LEN(Experiment_Plan!H17) - FIND(" ", Experiment_Plan!H17))), "")</f>
        <v/>
      </c>
      <c r="I17" s="2" t="str">
        <f>IFERROR(VALUE(RIGHT(Experiment_Plan!I17, LEN(Experiment_Plan!I17) - FIND(" ", Experiment_Plan!I17))), "")</f>
        <v/>
      </c>
      <c r="J17" s="2" t="str">
        <f>IFERROR(VALUE(RIGHT(Experiment_Plan!J17, LEN(Experiment_Plan!J17) - FIND(" ", Experiment_Plan!J17))), "")</f>
        <v/>
      </c>
      <c r="K17" s="2" t="str">
        <f>IFERROR(VALUE(RIGHT(Experiment_Plan!K17, LEN(Experiment_Plan!K17) - FIND(" ", Experiment_Plan!K17))), "")</f>
        <v/>
      </c>
      <c r="L17" s="2" t="str">
        <f>IFERROR(VALUE(RIGHT(Experiment_Plan!L17, LEN(Experiment_Plan!L17) - FIND(" ", Experiment_Plan!L17))), "")</f>
        <v/>
      </c>
      <c r="M17" s="2" t="str">
        <f>IFERROR(VALUE(RIGHT(Experiment_Plan!M17, LEN(Experiment_Plan!M17) - FIND(" ", Experiment_Plan!M17))), "")</f>
        <v/>
      </c>
      <c r="N17" s="2" t="str">
        <f>IFERROR(VALUE(RIGHT(Experiment_Plan!N17, LEN(Experiment_Plan!N17) - FIND(" ", Experiment_Plan!N17))), "")</f>
        <v/>
      </c>
      <c r="O17" s="2" t="str">
        <f>IFERROR(VALUE(RIGHT(Experiment_Plan!O17, LEN(Experiment_Plan!O17) - FIND(" ", Experiment_Plan!O17))), "")</f>
        <v/>
      </c>
      <c r="P17" s="2" t="str">
        <f>IFERROR(VALUE(RIGHT(Experiment_Plan!P17, LEN(Experiment_Plan!P17) - FIND(" ", Experiment_Plan!P17))), "")</f>
        <v/>
      </c>
      <c r="Q17" s="2" t="str">
        <f>IFERROR(VALUE(RIGHT(Experiment_Plan!Q17, LEN(Experiment_Plan!Q17) - FIND(" ", Experiment_Plan!Q17))), "")</f>
        <v/>
      </c>
      <c r="R17" s="2" t="str">
        <f>IFERROR(VALUE(RIGHT(Experiment_Plan!R17, LEN(Experiment_Plan!R17) - FIND(" ", Experiment_Plan!R17))), "")</f>
        <v/>
      </c>
      <c r="S17" s="2" t="str">
        <f>IFERROR(VALUE(RIGHT(Experiment_Plan!S17, LEN(Experiment_Plan!S17) - FIND(" ", Experiment_Plan!S17))), "")</f>
        <v/>
      </c>
      <c r="T17" s="2" t="str">
        <f>IFERROR(VALUE(RIGHT(Experiment_Plan!T17, LEN(Experiment_Plan!T17) - FIND(" ", Experiment_Plan!T17))), "")</f>
        <v/>
      </c>
      <c r="U17" s="2" t="str">
        <f>IFERROR(VALUE(RIGHT(Experiment_Plan!U17, LEN(Experiment_Plan!U17) - FIND(" ", Experiment_Plan!U17))), "")</f>
        <v/>
      </c>
      <c r="V17" s="2" t="str">
        <f>IFERROR(VALUE(RIGHT(Experiment_Plan!V17, LEN(Experiment_Plan!V17) - FIND(" ", Experiment_Plan!V17))), "")</f>
        <v/>
      </c>
      <c r="W17" s="2" t="str">
        <f>IFERROR(VALUE(RIGHT(Experiment_Plan!W17, LEN(Experiment_Plan!W17) - FIND(" ", Experiment_Plan!W17))), "")</f>
        <v/>
      </c>
      <c r="X17" s="2" t="str">
        <f>IFERROR(VALUE(RIGHT(Experiment_Plan!X17, LEN(Experiment_Plan!X17) - FIND(" ", Experiment_Plan!X17))), "")</f>
        <v/>
      </c>
      <c r="Y17" s="2" t="str">
        <f>IFERROR(VALUE(RIGHT(Experiment_Plan!Y17, LEN(Experiment_Plan!Y17) - FIND(" ", Experiment_Plan!Y17))), "")</f>
        <v/>
      </c>
      <c r="Z17" s="2" t="str">
        <f>IFERROR(VALUE(RIGHT(Experiment_Plan!Z17, LEN(Experiment_Plan!Z17) - FIND(" ", Experiment_Plan!Z17))), "")</f>
        <v/>
      </c>
      <c r="AA17" s="2" t="str">
        <f>IFERROR(VALUE(RIGHT(Experiment_Plan!AA17, LEN(Experiment_Plan!AA17) - FIND(" ", Experiment_Plan!AA17))), "")</f>
        <v/>
      </c>
      <c r="AB17" s="2" t="str">
        <f>IFERROR(VALUE(RIGHT(Experiment_Plan!AB17, LEN(Experiment_Plan!AB17) - FIND(" ", Experiment_Plan!AB17))), "")</f>
        <v/>
      </c>
      <c r="AC17" s="2" t="str">
        <f>IFERROR(VALUE(RIGHT(Experiment_Plan!AC17, LEN(Experiment_Plan!AC17) - FIND(" ", Experiment_Plan!AC17))), "")</f>
        <v/>
      </c>
      <c r="AD17" s="2" t="str">
        <f>IFERROR(VALUE(RIGHT(Experiment_Plan!AD17, LEN(Experiment_Plan!AD17) - FIND(" ", Experiment_Plan!AD17))), "")</f>
        <v/>
      </c>
      <c r="AE17" s="11" t="str">
        <f>IFERROR(VALUE(RIGHT(Experiment_Plan!AE17, LEN(Experiment_Plan!AE17) - FIND(" ", Experiment_Plan!AE17))), "")</f>
        <v/>
      </c>
    </row>
    <row r="18" spans="7:31" x14ac:dyDescent="0.2">
      <c r="G18" s="2" t="s">
        <v>11</v>
      </c>
      <c r="H18" s="10" t="str">
        <f>IFERROR(VALUE(RIGHT(Experiment_Plan!H18, LEN(Experiment_Plan!H18) - FIND(" ", Experiment_Plan!H18))), "")</f>
        <v/>
      </c>
      <c r="I18" s="2" t="str">
        <f>IFERROR(VALUE(RIGHT(Experiment_Plan!I18, LEN(Experiment_Plan!I18) - FIND(" ", Experiment_Plan!I18))), "")</f>
        <v/>
      </c>
      <c r="J18" s="2" t="str">
        <f>IFERROR(VALUE(RIGHT(Experiment_Plan!J18, LEN(Experiment_Plan!J18) - FIND(" ", Experiment_Plan!J18))), "")</f>
        <v/>
      </c>
      <c r="K18" s="2" t="str">
        <f>IFERROR(VALUE(RIGHT(Experiment_Plan!K18, LEN(Experiment_Plan!K18) - FIND(" ", Experiment_Plan!K18))), "")</f>
        <v/>
      </c>
      <c r="L18" s="2" t="str">
        <f>IFERROR(VALUE(RIGHT(Experiment_Plan!L18, LEN(Experiment_Plan!L18) - FIND(" ", Experiment_Plan!L18))), "")</f>
        <v/>
      </c>
      <c r="M18" s="2" t="str">
        <f>IFERROR(VALUE(RIGHT(Experiment_Plan!M18, LEN(Experiment_Plan!M18) - FIND(" ", Experiment_Plan!M18))), "")</f>
        <v/>
      </c>
      <c r="N18" s="2" t="str">
        <f>IFERROR(VALUE(RIGHT(Experiment_Plan!N18, LEN(Experiment_Plan!N18) - FIND(" ", Experiment_Plan!N18))), "")</f>
        <v/>
      </c>
      <c r="O18" s="2" t="str">
        <f>IFERROR(VALUE(RIGHT(Experiment_Plan!O18, LEN(Experiment_Plan!O18) - FIND(" ", Experiment_Plan!O18))), "")</f>
        <v/>
      </c>
      <c r="P18" s="2" t="str">
        <f>IFERROR(VALUE(RIGHT(Experiment_Plan!P18, LEN(Experiment_Plan!P18) - FIND(" ", Experiment_Plan!P18))), "")</f>
        <v/>
      </c>
      <c r="Q18" s="2" t="str">
        <f>IFERROR(VALUE(RIGHT(Experiment_Plan!Q18, LEN(Experiment_Plan!Q18) - FIND(" ", Experiment_Plan!Q18))), "")</f>
        <v/>
      </c>
      <c r="R18" s="2" t="str">
        <f>IFERROR(VALUE(RIGHT(Experiment_Plan!R18, LEN(Experiment_Plan!R18) - FIND(" ", Experiment_Plan!R18))), "")</f>
        <v/>
      </c>
      <c r="S18" s="2" t="str">
        <f>IFERROR(VALUE(RIGHT(Experiment_Plan!S18, LEN(Experiment_Plan!S18) - FIND(" ", Experiment_Plan!S18))), "")</f>
        <v/>
      </c>
      <c r="T18" s="2" t="str">
        <f>IFERROR(VALUE(RIGHT(Experiment_Plan!T18, LEN(Experiment_Plan!T18) - FIND(" ", Experiment_Plan!T18))), "")</f>
        <v/>
      </c>
      <c r="U18" s="2" t="str">
        <f>IFERROR(VALUE(RIGHT(Experiment_Plan!U18, LEN(Experiment_Plan!U18) - FIND(" ", Experiment_Plan!U18))), "")</f>
        <v/>
      </c>
      <c r="V18" s="2" t="str">
        <f>IFERROR(VALUE(RIGHT(Experiment_Plan!V18, LEN(Experiment_Plan!V18) - FIND(" ", Experiment_Plan!V18))), "")</f>
        <v/>
      </c>
      <c r="W18" s="2" t="str">
        <f>IFERROR(VALUE(RIGHT(Experiment_Plan!W18, LEN(Experiment_Plan!W18) - FIND(" ", Experiment_Plan!W18))), "")</f>
        <v/>
      </c>
      <c r="X18" s="2" t="str">
        <f>IFERROR(VALUE(RIGHT(Experiment_Plan!X18, LEN(Experiment_Plan!X18) - FIND(" ", Experiment_Plan!X18))), "")</f>
        <v/>
      </c>
      <c r="Y18" s="2" t="str">
        <f>IFERROR(VALUE(RIGHT(Experiment_Plan!Y18, LEN(Experiment_Plan!Y18) - FIND(" ", Experiment_Plan!Y18))), "")</f>
        <v/>
      </c>
      <c r="Z18" s="2" t="str">
        <f>IFERROR(VALUE(RIGHT(Experiment_Plan!Z18, LEN(Experiment_Plan!Z18) - FIND(" ", Experiment_Plan!Z18))), "")</f>
        <v/>
      </c>
      <c r="AA18" s="2" t="str">
        <f>IFERROR(VALUE(RIGHT(Experiment_Plan!AA18, LEN(Experiment_Plan!AA18) - FIND(" ", Experiment_Plan!AA18))), "")</f>
        <v/>
      </c>
      <c r="AB18" s="2" t="str">
        <f>IFERROR(VALUE(RIGHT(Experiment_Plan!AB18, LEN(Experiment_Plan!AB18) - FIND(" ", Experiment_Plan!AB18))), "")</f>
        <v/>
      </c>
      <c r="AC18" s="2" t="str">
        <f>IFERROR(VALUE(RIGHT(Experiment_Plan!AC18, LEN(Experiment_Plan!AC18) - FIND(" ", Experiment_Plan!AC18))), "")</f>
        <v/>
      </c>
      <c r="AD18" s="2" t="str">
        <f>IFERROR(VALUE(RIGHT(Experiment_Plan!AD18, LEN(Experiment_Plan!AD18) - FIND(" ", Experiment_Plan!AD18))), "")</f>
        <v/>
      </c>
      <c r="AE18" s="11" t="str">
        <f>IFERROR(VALUE(RIGHT(Experiment_Plan!AE18, LEN(Experiment_Plan!AE18) - FIND(" ", Experiment_Plan!AE18))), "")</f>
        <v/>
      </c>
    </row>
    <row r="19" spans="7:31" x14ac:dyDescent="0.2">
      <c r="G19" s="2" t="s">
        <v>12</v>
      </c>
      <c r="H19" s="10" t="str">
        <f>IFERROR(VALUE(RIGHT(Experiment_Plan!H19, LEN(Experiment_Plan!H19) - FIND(" ", Experiment_Plan!H19))), "")</f>
        <v/>
      </c>
      <c r="I19" s="2" t="str">
        <f>IFERROR(VALUE(RIGHT(Experiment_Plan!I19, LEN(Experiment_Plan!I19) - FIND(" ", Experiment_Plan!I19))), "")</f>
        <v/>
      </c>
      <c r="J19" s="2" t="str">
        <f>IFERROR(VALUE(RIGHT(Experiment_Plan!J19, LEN(Experiment_Plan!J19) - FIND(" ", Experiment_Plan!J19))), "")</f>
        <v/>
      </c>
      <c r="K19" s="2" t="str">
        <f>IFERROR(VALUE(RIGHT(Experiment_Plan!K19, LEN(Experiment_Plan!K19) - FIND(" ", Experiment_Plan!K19))), "")</f>
        <v/>
      </c>
      <c r="L19" s="2" t="str">
        <f>IFERROR(VALUE(RIGHT(Experiment_Plan!L19, LEN(Experiment_Plan!L19) - FIND(" ", Experiment_Plan!L19))), "")</f>
        <v/>
      </c>
      <c r="M19" s="2" t="str">
        <f>IFERROR(VALUE(RIGHT(Experiment_Plan!M19, LEN(Experiment_Plan!M19) - FIND(" ", Experiment_Plan!M19))), "")</f>
        <v/>
      </c>
      <c r="N19" s="2" t="str">
        <f>IFERROR(VALUE(RIGHT(Experiment_Plan!N19, LEN(Experiment_Plan!N19) - FIND(" ", Experiment_Plan!N19))), "")</f>
        <v/>
      </c>
      <c r="O19" s="2" t="str">
        <f>IFERROR(VALUE(RIGHT(Experiment_Plan!O19, LEN(Experiment_Plan!O19) - FIND(" ", Experiment_Plan!O19))), "")</f>
        <v/>
      </c>
      <c r="P19" s="2" t="str">
        <f>IFERROR(VALUE(RIGHT(Experiment_Plan!P19, LEN(Experiment_Plan!P19) - FIND(" ", Experiment_Plan!P19))), "")</f>
        <v/>
      </c>
      <c r="Q19" s="2" t="str">
        <f>IFERROR(VALUE(RIGHT(Experiment_Plan!Q19, LEN(Experiment_Plan!Q19) - FIND(" ", Experiment_Plan!Q19))), "")</f>
        <v/>
      </c>
      <c r="R19" s="2" t="str">
        <f>IFERROR(VALUE(RIGHT(Experiment_Plan!R19, LEN(Experiment_Plan!R19) - FIND(" ", Experiment_Plan!R19))), "")</f>
        <v/>
      </c>
      <c r="S19" s="2" t="str">
        <f>IFERROR(VALUE(RIGHT(Experiment_Plan!S19, LEN(Experiment_Plan!S19) - FIND(" ", Experiment_Plan!S19))), "")</f>
        <v/>
      </c>
      <c r="T19" s="2" t="str">
        <f>IFERROR(VALUE(RIGHT(Experiment_Plan!T19, LEN(Experiment_Plan!T19) - FIND(" ", Experiment_Plan!T19))), "")</f>
        <v/>
      </c>
      <c r="U19" s="2" t="str">
        <f>IFERROR(VALUE(RIGHT(Experiment_Plan!U19, LEN(Experiment_Plan!U19) - FIND(" ", Experiment_Plan!U19))), "")</f>
        <v/>
      </c>
      <c r="V19" s="2" t="str">
        <f>IFERROR(VALUE(RIGHT(Experiment_Plan!V19, LEN(Experiment_Plan!V19) - FIND(" ", Experiment_Plan!V19))), "")</f>
        <v/>
      </c>
      <c r="W19" s="2" t="str">
        <f>IFERROR(VALUE(RIGHT(Experiment_Plan!W19, LEN(Experiment_Plan!W19) - FIND(" ", Experiment_Plan!W19))), "")</f>
        <v/>
      </c>
      <c r="X19" s="2" t="str">
        <f>IFERROR(VALUE(RIGHT(Experiment_Plan!X19, LEN(Experiment_Plan!X19) - FIND(" ", Experiment_Plan!X19))), "")</f>
        <v/>
      </c>
      <c r="Y19" s="2" t="str">
        <f>IFERROR(VALUE(RIGHT(Experiment_Plan!Y19, LEN(Experiment_Plan!Y19) - FIND(" ", Experiment_Plan!Y19))), "")</f>
        <v/>
      </c>
      <c r="Z19" s="2" t="str">
        <f>IFERROR(VALUE(RIGHT(Experiment_Plan!Z19, LEN(Experiment_Plan!Z19) - FIND(" ", Experiment_Plan!Z19))), "")</f>
        <v/>
      </c>
      <c r="AA19" s="2" t="str">
        <f>IFERROR(VALUE(RIGHT(Experiment_Plan!AA19, LEN(Experiment_Plan!AA19) - FIND(" ", Experiment_Plan!AA19))), "")</f>
        <v/>
      </c>
      <c r="AB19" s="2" t="str">
        <f>IFERROR(VALUE(RIGHT(Experiment_Plan!AB19, LEN(Experiment_Plan!AB19) - FIND(" ", Experiment_Plan!AB19))), "")</f>
        <v/>
      </c>
      <c r="AC19" s="2" t="str">
        <f>IFERROR(VALUE(RIGHT(Experiment_Plan!AC19, LEN(Experiment_Plan!AC19) - FIND(" ", Experiment_Plan!AC19))), "")</f>
        <v/>
      </c>
      <c r="AD19" s="2" t="str">
        <f>IFERROR(VALUE(RIGHT(Experiment_Plan!AD19, LEN(Experiment_Plan!AD19) - FIND(" ", Experiment_Plan!AD19))), "")</f>
        <v/>
      </c>
      <c r="AE19" s="11" t="str">
        <f>IFERROR(VALUE(RIGHT(Experiment_Plan!AE19, LEN(Experiment_Plan!AE19) - FIND(" ", Experiment_Plan!AE19))), "")</f>
        <v/>
      </c>
    </row>
    <row r="20" spans="7:31" x14ac:dyDescent="0.2">
      <c r="G20" s="2" t="s">
        <v>13</v>
      </c>
      <c r="H20" s="10" t="str">
        <f>IFERROR(VALUE(RIGHT(Experiment_Plan!H20, LEN(Experiment_Plan!H20) - FIND(" ", Experiment_Plan!H20))), "")</f>
        <v/>
      </c>
      <c r="I20" s="2" t="str">
        <f>IFERROR(VALUE(RIGHT(Experiment_Plan!I20, LEN(Experiment_Plan!I20) - FIND(" ", Experiment_Plan!I20))), "")</f>
        <v/>
      </c>
      <c r="J20" s="2" t="str">
        <f>IFERROR(VALUE(RIGHT(Experiment_Plan!J20, LEN(Experiment_Plan!J20) - FIND(" ", Experiment_Plan!J20))), "")</f>
        <v/>
      </c>
      <c r="K20" s="2" t="str">
        <f>IFERROR(VALUE(RIGHT(Experiment_Plan!K20, LEN(Experiment_Plan!K20) - FIND(" ", Experiment_Plan!K20))), "")</f>
        <v/>
      </c>
      <c r="L20" s="2" t="str">
        <f>IFERROR(VALUE(RIGHT(Experiment_Plan!L20, LEN(Experiment_Plan!L20) - FIND(" ", Experiment_Plan!L20))), "")</f>
        <v/>
      </c>
      <c r="M20" s="2" t="str">
        <f>IFERROR(VALUE(RIGHT(Experiment_Plan!M20, LEN(Experiment_Plan!M20) - FIND(" ", Experiment_Plan!M20))), "")</f>
        <v/>
      </c>
      <c r="N20" s="2" t="str">
        <f>IFERROR(VALUE(RIGHT(Experiment_Plan!N20, LEN(Experiment_Plan!N20) - FIND(" ", Experiment_Plan!N20))), "")</f>
        <v/>
      </c>
      <c r="O20" s="2" t="str">
        <f>IFERROR(VALUE(RIGHT(Experiment_Plan!O20, LEN(Experiment_Plan!O20) - FIND(" ", Experiment_Plan!O20))), "")</f>
        <v/>
      </c>
      <c r="P20" s="2" t="str">
        <f>IFERROR(VALUE(RIGHT(Experiment_Plan!P20, LEN(Experiment_Plan!P20) - FIND(" ", Experiment_Plan!P20))), "")</f>
        <v/>
      </c>
      <c r="Q20" s="2" t="str">
        <f>IFERROR(VALUE(RIGHT(Experiment_Plan!Q20, LEN(Experiment_Plan!Q20) - FIND(" ", Experiment_Plan!Q20))), "")</f>
        <v/>
      </c>
      <c r="R20" s="2" t="str">
        <f>IFERROR(VALUE(RIGHT(Experiment_Plan!R20, LEN(Experiment_Plan!R20) - FIND(" ", Experiment_Plan!R20))), "")</f>
        <v/>
      </c>
      <c r="S20" s="2" t="str">
        <f>IFERROR(VALUE(RIGHT(Experiment_Plan!S20, LEN(Experiment_Plan!S20) - FIND(" ", Experiment_Plan!S20))), "")</f>
        <v/>
      </c>
      <c r="T20" s="2" t="str">
        <f>IFERROR(VALUE(RIGHT(Experiment_Plan!T20, LEN(Experiment_Plan!T20) - FIND(" ", Experiment_Plan!T20))), "")</f>
        <v/>
      </c>
      <c r="U20" s="2" t="str">
        <f>IFERROR(VALUE(RIGHT(Experiment_Plan!U20, LEN(Experiment_Plan!U20) - FIND(" ", Experiment_Plan!U20))), "")</f>
        <v/>
      </c>
      <c r="V20" s="2" t="str">
        <f>IFERROR(VALUE(RIGHT(Experiment_Plan!V20, LEN(Experiment_Plan!V20) - FIND(" ", Experiment_Plan!V20))), "")</f>
        <v/>
      </c>
      <c r="W20" s="2" t="str">
        <f>IFERROR(VALUE(RIGHT(Experiment_Plan!W20, LEN(Experiment_Plan!W20) - FIND(" ", Experiment_Plan!W20))), "")</f>
        <v/>
      </c>
      <c r="X20" s="2" t="str">
        <f>IFERROR(VALUE(RIGHT(Experiment_Plan!X20, LEN(Experiment_Plan!X20) - FIND(" ", Experiment_Plan!X20))), "")</f>
        <v/>
      </c>
      <c r="Y20" s="2" t="str">
        <f>IFERROR(VALUE(RIGHT(Experiment_Plan!Y20, LEN(Experiment_Plan!Y20) - FIND(" ", Experiment_Plan!Y20))), "")</f>
        <v/>
      </c>
      <c r="Z20" s="2" t="str">
        <f>IFERROR(VALUE(RIGHT(Experiment_Plan!Z20, LEN(Experiment_Plan!Z20) - FIND(" ", Experiment_Plan!Z20))), "")</f>
        <v/>
      </c>
      <c r="AA20" s="2" t="str">
        <f>IFERROR(VALUE(RIGHT(Experiment_Plan!AA20, LEN(Experiment_Plan!AA20) - FIND(" ", Experiment_Plan!AA20))), "")</f>
        <v/>
      </c>
      <c r="AB20" s="2" t="str">
        <f>IFERROR(VALUE(RIGHT(Experiment_Plan!AB20, LEN(Experiment_Plan!AB20) - FIND(" ", Experiment_Plan!AB20))), "")</f>
        <v/>
      </c>
      <c r="AC20" s="2" t="str">
        <f>IFERROR(VALUE(RIGHT(Experiment_Plan!AC20, LEN(Experiment_Plan!AC20) - FIND(" ", Experiment_Plan!AC20))), "")</f>
        <v/>
      </c>
      <c r="AD20" s="2" t="str">
        <f>IFERROR(VALUE(RIGHT(Experiment_Plan!AD20, LEN(Experiment_Plan!AD20) - FIND(" ", Experiment_Plan!AD20))), "")</f>
        <v/>
      </c>
      <c r="AE20" s="11" t="str">
        <f>IFERROR(VALUE(RIGHT(Experiment_Plan!AE20, LEN(Experiment_Plan!AE20) - FIND(" ", Experiment_Plan!AE20))), "")</f>
        <v/>
      </c>
    </row>
    <row r="21" spans="7:31" x14ac:dyDescent="0.2">
      <c r="G21" s="2" t="s">
        <v>14</v>
      </c>
      <c r="H21" s="10" t="str">
        <f>IFERROR(VALUE(RIGHT(Experiment_Plan!H21, LEN(Experiment_Plan!H21) - FIND(" ", Experiment_Plan!H21))), "")</f>
        <v/>
      </c>
      <c r="I21" s="2" t="str">
        <f>IFERROR(VALUE(RIGHT(Experiment_Plan!I21, LEN(Experiment_Plan!I21) - FIND(" ", Experiment_Plan!I21))), "")</f>
        <v/>
      </c>
      <c r="J21" s="2" t="str">
        <f>IFERROR(VALUE(RIGHT(Experiment_Plan!J21, LEN(Experiment_Plan!J21) - FIND(" ", Experiment_Plan!J21))), "")</f>
        <v/>
      </c>
      <c r="K21" s="2" t="str">
        <f>IFERROR(VALUE(RIGHT(Experiment_Plan!K21, LEN(Experiment_Plan!K21) - FIND(" ", Experiment_Plan!K21))), "")</f>
        <v/>
      </c>
      <c r="L21" s="2" t="str">
        <f>IFERROR(VALUE(RIGHT(Experiment_Plan!L21, LEN(Experiment_Plan!L21) - FIND(" ", Experiment_Plan!L21))), "")</f>
        <v/>
      </c>
      <c r="M21" s="2" t="str">
        <f>IFERROR(VALUE(RIGHT(Experiment_Plan!M21, LEN(Experiment_Plan!M21) - FIND(" ", Experiment_Plan!M21))), "")</f>
        <v/>
      </c>
      <c r="N21" s="2" t="str">
        <f>IFERROR(VALUE(RIGHT(Experiment_Plan!N21, LEN(Experiment_Plan!N21) - FIND(" ", Experiment_Plan!N21))), "")</f>
        <v/>
      </c>
      <c r="O21" s="2" t="str">
        <f>IFERROR(VALUE(RIGHT(Experiment_Plan!O21, LEN(Experiment_Plan!O21) - FIND(" ", Experiment_Plan!O21))), "")</f>
        <v/>
      </c>
      <c r="P21" s="2" t="str">
        <f>IFERROR(VALUE(RIGHT(Experiment_Plan!P21, LEN(Experiment_Plan!P21) - FIND(" ", Experiment_Plan!P21))), "")</f>
        <v/>
      </c>
      <c r="Q21" s="2" t="str">
        <f>IFERROR(VALUE(RIGHT(Experiment_Plan!Q21, LEN(Experiment_Plan!Q21) - FIND(" ", Experiment_Plan!Q21))), "")</f>
        <v/>
      </c>
      <c r="R21" s="2" t="str">
        <f>IFERROR(VALUE(RIGHT(Experiment_Plan!R21, LEN(Experiment_Plan!R21) - FIND(" ", Experiment_Plan!R21))), "")</f>
        <v/>
      </c>
      <c r="S21" s="2" t="str">
        <f>IFERROR(VALUE(RIGHT(Experiment_Plan!S21, LEN(Experiment_Plan!S21) - FIND(" ", Experiment_Plan!S21))), "")</f>
        <v/>
      </c>
      <c r="T21" s="2" t="str">
        <f>IFERROR(VALUE(RIGHT(Experiment_Plan!T21, LEN(Experiment_Plan!T21) - FIND(" ", Experiment_Plan!T21))), "")</f>
        <v/>
      </c>
      <c r="U21" s="2" t="str">
        <f>IFERROR(VALUE(RIGHT(Experiment_Plan!U21, LEN(Experiment_Plan!U21) - FIND(" ", Experiment_Plan!U21))), "")</f>
        <v/>
      </c>
      <c r="V21" s="2" t="str">
        <f>IFERROR(VALUE(RIGHT(Experiment_Plan!V21, LEN(Experiment_Plan!V21) - FIND(" ", Experiment_Plan!V21))), "")</f>
        <v/>
      </c>
      <c r="W21" s="2" t="str">
        <f>IFERROR(VALUE(RIGHT(Experiment_Plan!W21, LEN(Experiment_Plan!W21) - FIND(" ", Experiment_Plan!W21))), "")</f>
        <v/>
      </c>
      <c r="X21" s="2" t="str">
        <f>IFERROR(VALUE(RIGHT(Experiment_Plan!X21, LEN(Experiment_Plan!X21) - FIND(" ", Experiment_Plan!X21))), "")</f>
        <v/>
      </c>
      <c r="Y21" s="2" t="str">
        <f>IFERROR(VALUE(RIGHT(Experiment_Plan!Y21, LEN(Experiment_Plan!Y21) - FIND(" ", Experiment_Plan!Y21))), "")</f>
        <v/>
      </c>
      <c r="Z21" s="2" t="str">
        <f>IFERROR(VALUE(RIGHT(Experiment_Plan!Z21, LEN(Experiment_Plan!Z21) - FIND(" ", Experiment_Plan!Z21))), "")</f>
        <v/>
      </c>
      <c r="AA21" s="2" t="str">
        <f>IFERROR(VALUE(RIGHT(Experiment_Plan!AA21, LEN(Experiment_Plan!AA21) - FIND(" ", Experiment_Plan!AA21))), "")</f>
        <v/>
      </c>
      <c r="AB21" s="2" t="str">
        <f>IFERROR(VALUE(RIGHT(Experiment_Plan!AB21, LEN(Experiment_Plan!AB21) - FIND(" ", Experiment_Plan!AB21))), "")</f>
        <v/>
      </c>
      <c r="AC21" s="2" t="str">
        <f>IFERROR(VALUE(RIGHT(Experiment_Plan!AC21, LEN(Experiment_Plan!AC21) - FIND(" ", Experiment_Plan!AC21))), "")</f>
        <v/>
      </c>
      <c r="AD21" s="2" t="str">
        <f>IFERROR(VALUE(RIGHT(Experiment_Plan!AD21, LEN(Experiment_Plan!AD21) - FIND(" ", Experiment_Plan!AD21))), "")</f>
        <v/>
      </c>
      <c r="AE21" s="11" t="str">
        <f>IFERROR(VALUE(RIGHT(Experiment_Plan!AE21, LEN(Experiment_Plan!AE21) - FIND(" ", Experiment_Plan!AE21))), "")</f>
        <v/>
      </c>
    </row>
    <row r="22" spans="7:31" ht="17" thickBot="1" x14ac:dyDescent="0.25">
      <c r="G22" s="2" t="s">
        <v>15</v>
      </c>
      <c r="H22" s="6" t="str">
        <f>IFERROR(VALUE(RIGHT(Experiment_Plan!H22, LEN(Experiment_Plan!H22) - FIND(" ", Experiment_Plan!H22))), "")</f>
        <v/>
      </c>
      <c r="I22" s="7" t="str">
        <f>IFERROR(VALUE(RIGHT(Experiment_Plan!I22, LEN(Experiment_Plan!I22) - FIND(" ", Experiment_Plan!I22))), "")</f>
        <v/>
      </c>
      <c r="J22" s="7" t="str">
        <f>IFERROR(VALUE(RIGHT(Experiment_Plan!J22, LEN(Experiment_Plan!J22) - FIND(" ", Experiment_Plan!J22))), "")</f>
        <v/>
      </c>
      <c r="K22" s="7" t="str">
        <f>IFERROR(VALUE(RIGHT(Experiment_Plan!K22, LEN(Experiment_Plan!K22) - FIND(" ", Experiment_Plan!K22))), "")</f>
        <v/>
      </c>
      <c r="L22" s="7" t="str">
        <f>IFERROR(VALUE(RIGHT(Experiment_Plan!L22, LEN(Experiment_Plan!L22) - FIND(" ", Experiment_Plan!L22))), "")</f>
        <v/>
      </c>
      <c r="M22" s="7" t="str">
        <f>IFERROR(VALUE(RIGHT(Experiment_Plan!M22, LEN(Experiment_Plan!M22) - FIND(" ", Experiment_Plan!M22))), "")</f>
        <v/>
      </c>
      <c r="N22" s="7" t="str">
        <f>IFERROR(VALUE(RIGHT(Experiment_Plan!N22, LEN(Experiment_Plan!N22) - FIND(" ", Experiment_Plan!N22))), "")</f>
        <v/>
      </c>
      <c r="O22" s="7" t="str">
        <f>IFERROR(VALUE(RIGHT(Experiment_Plan!O22, LEN(Experiment_Plan!O22) - FIND(" ", Experiment_Plan!O22))), "")</f>
        <v/>
      </c>
      <c r="P22" s="7" t="str">
        <f>IFERROR(VALUE(RIGHT(Experiment_Plan!P22, LEN(Experiment_Plan!P22) - FIND(" ", Experiment_Plan!P22))), "")</f>
        <v/>
      </c>
      <c r="Q22" s="7" t="str">
        <f>IFERROR(VALUE(RIGHT(Experiment_Plan!Q22, LEN(Experiment_Plan!Q22) - FIND(" ", Experiment_Plan!Q22))), "")</f>
        <v/>
      </c>
      <c r="R22" s="7" t="str">
        <f>IFERROR(VALUE(RIGHT(Experiment_Plan!R22, LEN(Experiment_Plan!R22) - FIND(" ", Experiment_Plan!R22))), "")</f>
        <v/>
      </c>
      <c r="S22" s="7" t="str">
        <f>IFERROR(VALUE(RIGHT(Experiment_Plan!S22, LEN(Experiment_Plan!S22) - FIND(" ", Experiment_Plan!S22))), "")</f>
        <v/>
      </c>
      <c r="T22" s="7" t="str">
        <f>IFERROR(VALUE(RIGHT(Experiment_Plan!T22, LEN(Experiment_Plan!T22) - FIND(" ", Experiment_Plan!T22))), "")</f>
        <v/>
      </c>
      <c r="U22" s="7" t="str">
        <f>IFERROR(VALUE(RIGHT(Experiment_Plan!U22, LEN(Experiment_Plan!U22) - FIND(" ", Experiment_Plan!U22))), "")</f>
        <v/>
      </c>
      <c r="V22" s="7" t="str">
        <f>IFERROR(VALUE(RIGHT(Experiment_Plan!V22, LEN(Experiment_Plan!V22) - FIND(" ", Experiment_Plan!V22))), "")</f>
        <v/>
      </c>
      <c r="W22" s="7" t="str">
        <f>IFERROR(VALUE(RIGHT(Experiment_Plan!W22, LEN(Experiment_Plan!W22) - FIND(" ", Experiment_Plan!W22))), "")</f>
        <v/>
      </c>
      <c r="X22" s="7" t="str">
        <f>IFERROR(VALUE(RIGHT(Experiment_Plan!X22, LEN(Experiment_Plan!X22) - FIND(" ", Experiment_Plan!X22))), "")</f>
        <v/>
      </c>
      <c r="Y22" s="7" t="str">
        <f>IFERROR(VALUE(RIGHT(Experiment_Plan!Y22, LEN(Experiment_Plan!Y22) - FIND(" ", Experiment_Plan!Y22))), "")</f>
        <v/>
      </c>
      <c r="Z22" s="7" t="str">
        <f>IFERROR(VALUE(RIGHT(Experiment_Plan!Z22, LEN(Experiment_Plan!Z22) - FIND(" ", Experiment_Plan!Z22))), "")</f>
        <v/>
      </c>
      <c r="AA22" s="7" t="str">
        <f>IFERROR(VALUE(RIGHT(Experiment_Plan!AA22, LEN(Experiment_Plan!AA22) - FIND(" ", Experiment_Plan!AA22))), "")</f>
        <v/>
      </c>
      <c r="AB22" s="7" t="str">
        <f>IFERROR(VALUE(RIGHT(Experiment_Plan!AB22, LEN(Experiment_Plan!AB22) - FIND(" ", Experiment_Plan!AB22))), "")</f>
        <v/>
      </c>
      <c r="AC22" s="7" t="str">
        <f>IFERROR(VALUE(RIGHT(Experiment_Plan!AC22, LEN(Experiment_Plan!AC22) - FIND(" ", Experiment_Plan!AC22))), "")</f>
        <v/>
      </c>
      <c r="AD22" s="7" t="str">
        <f>IFERROR(VALUE(RIGHT(Experiment_Plan!AD22, LEN(Experiment_Plan!AD22) - FIND(" ", Experiment_Plan!AD22))), "")</f>
        <v/>
      </c>
      <c r="AE22" s="8" t="str">
        <f>IFERROR(VALUE(RIGHT(Experiment_Plan!AE22, LEN(Experiment_Plan!AE22) - FIND(" ", Experiment_Plan!AE22))), 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A15F9-B166-2D47-A6EB-4D884E93A10B}">
  <sheetPr codeName="Sheet5">
    <tabColor theme="4"/>
  </sheetPr>
  <dimension ref="A1:G389"/>
  <sheetViews>
    <sheetView showGridLines="0" zoomScale="110" workbookViewId="0">
      <selection activeCell="H17" sqref="H17"/>
    </sheetView>
  </sheetViews>
  <sheetFormatPr baseColWidth="10" defaultRowHeight="16" x14ac:dyDescent="0.2"/>
  <cols>
    <col min="1" max="1" width="4.83203125" style="1" customWidth="1"/>
  </cols>
  <sheetData>
    <row r="1" spans="2:7" s="1" customFormat="1" x14ac:dyDescent="0.2"/>
    <row r="4" spans="2:7" x14ac:dyDescent="0.2">
      <c r="B4" s="25" t="s">
        <v>406</v>
      </c>
      <c r="C4" s="26"/>
      <c r="D4" s="26"/>
      <c r="E4" s="26"/>
      <c r="F4" s="26"/>
      <c r="G4" s="26"/>
    </row>
    <row r="5" spans="2:7" x14ac:dyDescent="0.2">
      <c r="B5" t="s">
        <v>17</v>
      </c>
      <c r="C5" t="s">
        <v>18</v>
      </c>
      <c r="D5" t="s">
        <v>19</v>
      </c>
      <c r="E5" t="s">
        <v>20</v>
      </c>
      <c r="F5" t="s">
        <v>21</v>
      </c>
    </row>
    <row r="6" spans="2:7" x14ac:dyDescent="0.2">
      <c r="B6" t="s">
        <v>22</v>
      </c>
      <c r="E6">
        <v>10</v>
      </c>
    </row>
    <row r="7" spans="2:7" x14ac:dyDescent="0.2">
      <c r="B7" t="s">
        <v>23</v>
      </c>
      <c r="E7">
        <v>3.16</v>
      </c>
    </row>
    <row r="8" spans="2:7" x14ac:dyDescent="0.2">
      <c r="B8" t="s">
        <v>24</v>
      </c>
      <c r="E8">
        <v>1</v>
      </c>
    </row>
    <row r="9" spans="2:7" x14ac:dyDescent="0.2">
      <c r="B9" t="s">
        <v>25</v>
      </c>
      <c r="E9">
        <v>0.3</v>
      </c>
    </row>
    <row r="10" spans="2:7" x14ac:dyDescent="0.2">
      <c r="B10" t="s">
        <v>26</v>
      </c>
      <c r="E10">
        <v>0.1</v>
      </c>
    </row>
    <row r="11" spans="2:7" x14ac:dyDescent="0.2">
      <c r="B11" t="s">
        <v>27</v>
      </c>
      <c r="E11">
        <v>0.03</v>
      </c>
    </row>
    <row r="12" spans="2:7" x14ac:dyDescent="0.2">
      <c r="B12" t="s">
        <v>28</v>
      </c>
      <c r="E12">
        <v>0.01</v>
      </c>
    </row>
    <row r="13" spans="2:7" x14ac:dyDescent="0.2">
      <c r="B13" t="s">
        <v>29</v>
      </c>
      <c r="E13">
        <v>3.0000000000000001E-3</v>
      </c>
    </row>
    <row r="14" spans="2:7" x14ac:dyDescent="0.2">
      <c r="B14" t="s">
        <v>30</v>
      </c>
      <c r="E14">
        <v>1E-3</v>
      </c>
    </row>
    <row r="15" spans="2:7" x14ac:dyDescent="0.2">
      <c r="B15" t="s">
        <v>31</v>
      </c>
      <c r="E15">
        <v>2.9999999999999997E-4</v>
      </c>
    </row>
    <row r="16" spans="2:7" x14ac:dyDescent="0.2">
      <c r="B16" t="s">
        <v>32</v>
      </c>
      <c r="E16">
        <v>1E-4</v>
      </c>
    </row>
    <row r="17" spans="2:5" x14ac:dyDescent="0.2">
      <c r="B17" t="s">
        <v>33</v>
      </c>
      <c r="E17">
        <v>3.0000000000000001E-5</v>
      </c>
    </row>
    <row r="18" spans="2:5" x14ac:dyDescent="0.2">
      <c r="B18" t="s">
        <v>118</v>
      </c>
      <c r="E18">
        <v>1.0000000000000001E-5</v>
      </c>
    </row>
    <row r="19" spans="2:5" x14ac:dyDescent="0.2">
      <c r="B19" t="s">
        <v>119</v>
      </c>
      <c r="E19">
        <v>1.0000000000000001E-5</v>
      </c>
    </row>
    <row r="20" spans="2:5" x14ac:dyDescent="0.2">
      <c r="B20" t="s">
        <v>120</v>
      </c>
      <c r="E20">
        <v>1.0000000000000001E-5</v>
      </c>
    </row>
    <row r="21" spans="2:5" x14ac:dyDescent="0.2">
      <c r="B21" t="s">
        <v>121</v>
      </c>
      <c r="E21">
        <v>1.0000000000000001E-5</v>
      </c>
    </row>
    <row r="22" spans="2:5" x14ac:dyDescent="0.2">
      <c r="B22" t="s">
        <v>122</v>
      </c>
      <c r="E22">
        <v>1.0000000000000001E-5</v>
      </c>
    </row>
    <row r="23" spans="2:5" x14ac:dyDescent="0.2">
      <c r="B23" t="s">
        <v>123</v>
      </c>
      <c r="E23">
        <v>1.0000000000000001E-5</v>
      </c>
    </row>
    <row r="24" spans="2:5" x14ac:dyDescent="0.2">
      <c r="B24" t="s">
        <v>124</v>
      </c>
      <c r="E24">
        <v>1.0000000000000001E-5</v>
      </c>
    </row>
    <row r="25" spans="2:5" x14ac:dyDescent="0.2">
      <c r="B25" t="s">
        <v>125</v>
      </c>
      <c r="E25">
        <v>1.0000000000000001E-5</v>
      </c>
    </row>
    <row r="26" spans="2:5" x14ac:dyDescent="0.2">
      <c r="B26" t="s">
        <v>126</v>
      </c>
      <c r="E26">
        <v>1.0000000000000001E-5</v>
      </c>
    </row>
    <row r="27" spans="2:5" x14ac:dyDescent="0.2">
      <c r="B27" t="s">
        <v>127</v>
      </c>
      <c r="E27">
        <v>1.0000000000000001E-5</v>
      </c>
    </row>
    <row r="28" spans="2:5" x14ac:dyDescent="0.2">
      <c r="B28" t="s">
        <v>128</v>
      </c>
      <c r="E28">
        <v>1.0000000000000001E-5</v>
      </c>
    </row>
    <row r="29" spans="2:5" x14ac:dyDescent="0.2">
      <c r="B29" t="s">
        <v>129</v>
      </c>
      <c r="E29">
        <v>1.0000000000000001E-5</v>
      </c>
    </row>
    <row r="30" spans="2:5" x14ac:dyDescent="0.2">
      <c r="B30" t="s">
        <v>34</v>
      </c>
      <c r="E30">
        <v>10</v>
      </c>
    </row>
    <row r="31" spans="2:5" x14ac:dyDescent="0.2">
      <c r="B31" t="s">
        <v>35</v>
      </c>
      <c r="E31">
        <v>3.16</v>
      </c>
    </row>
    <row r="32" spans="2:5" x14ac:dyDescent="0.2">
      <c r="B32" t="s">
        <v>36</v>
      </c>
      <c r="E32">
        <v>1</v>
      </c>
    </row>
    <row r="33" spans="2:5" x14ac:dyDescent="0.2">
      <c r="B33" t="s">
        <v>37</v>
      </c>
      <c r="E33">
        <v>0.3</v>
      </c>
    </row>
    <row r="34" spans="2:5" x14ac:dyDescent="0.2">
      <c r="B34" t="s">
        <v>38</v>
      </c>
      <c r="E34">
        <v>0.1</v>
      </c>
    </row>
    <row r="35" spans="2:5" x14ac:dyDescent="0.2">
      <c r="B35" t="s">
        <v>39</v>
      </c>
      <c r="E35">
        <v>0.03</v>
      </c>
    </row>
    <row r="36" spans="2:5" x14ac:dyDescent="0.2">
      <c r="B36" t="s">
        <v>40</v>
      </c>
      <c r="E36">
        <v>0.01</v>
      </c>
    </row>
    <row r="37" spans="2:5" x14ac:dyDescent="0.2">
      <c r="B37" t="s">
        <v>41</v>
      </c>
      <c r="E37">
        <v>3.0000000000000001E-3</v>
      </c>
    </row>
    <row r="38" spans="2:5" x14ac:dyDescent="0.2">
      <c r="B38" t="s">
        <v>42</v>
      </c>
      <c r="E38">
        <v>1E-3</v>
      </c>
    </row>
    <row r="39" spans="2:5" x14ac:dyDescent="0.2">
      <c r="B39" t="s">
        <v>43</v>
      </c>
      <c r="E39">
        <v>2.9999999999999997E-4</v>
      </c>
    </row>
    <row r="40" spans="2:5" x14ac:dyDescent="0.2">
      <c r="B40" t="s">
        <v>44</v>
      </c>
      <c r="E40">
        <v>1E-4</v>
      </c>
    </row>
    <row r="41" spans="2:5" x14ac:dyDescent="0.2">
      <c r="B41" t="s">
        <v>45</v>
      </c>
      <c r="E41">
        <v>3.0000000000000001E-5</v>
      </c>
    </row>
    <row r="42" spans="2:5" x14ac:dyDescent="0.2">
      <c r="B42" t="s">
        <v>130</v>
      </c>
      <c r="E42">
        <v>1.0000000000000001E-5</v>
      </c>
    </row>
    <row r="43" spans="2:5" x14ac:dyDescent="0.2">
      <c r="B43" t="s">
        <v>131</v>
      </c>
      <c r="E43">
        <v>1.0000000000000001E-5</v>
      </c>
    </row>
    <row r="44" spans="2:5" x14ac:dyDescent="0.2">
      <c r="B44" t="s">
        <v>132</v>
      </c>
      <c r="E44">
        <v>1.0000000000000001E-5</v>
      </c>
    </row>
    <row r="45" spans="2:5" x14ac:dyDescent="0.2">
      <c r="B45" t="s">
        <v>133</v>
      </c>
      <c r="E45">
        <v>1.0000000000000001E-5</v>
      </c>
    </row>
    <row r="46" spans="2:5" x14ac:dyDescent="0.2">
      <c r="B46" t="s">
        <v>134</v>
      </c>
      <c r="E46">
        <v>1.0000000000000001E-5</v>
      </c>
    </row>
    <row r="47" spans="2:5" x14ac:dyDescent="0.2">
      <c r="B47" t="s">
        <v>135</v>
      </c>
      <c r="E47">
        <v>1.0000000000000001E-5</v>
      </c>
    </row>
    <row r="48" spans="2:5" x14ac:dyDescent="0.2">
      <c r="B48" t="s">
        <v>136</v>
      </c>
      <c r="E48">
        <v>1.0000000000000001E-5</v>
      </c>
    </row>
    <row r="49" spans="2:5" x14ac:dyDescent="0.2">
      <c r="B49" t="s">
        <v>137</v>
      </c>
      <c r="E49">
        <v>1.0000000000000001E-5</v>
      </c>
    </row>
    <row r="50" spans="2:5" x14ac:dyDescent="0.2">
      <c r="B50" t="s">
        <v>138</v>
      </c>
      <c r="E50">
        <v>1.0000000000000001E-5</v>
      </c>
    </row>
    <row r="51" spans="2:5" x14ac:dyDescent="0.2">
      <c r="B51" t="s">
        <v>139</v>
      </c>
      <c r="E51">
        <v>1.0000000000000001E-5</v>
      </c>
    </row>
    <row r="52" spans="2:5" x14ac:dyDescent="0.2">
      <c r="B52" t="s">
        <v>140</v>
      </c>
      <c r="E52">
        <v>1.0000000000000001E-5</v>
      </c>
    </row>
    <row r="53" spans="2:5" x14ac:dyDescent="0.2">
      <c r="B53" t="s">
        <v>141</v>
      </c>
      <c r="E53">
        <v>1.0000000000000001E-5</v>
      </c>
    </row>
    <row r="54" spans="2:5" x14ac:dyDescent="0.2">
      <c r="B54" t="s">
        <v>46</v>
      </c>
      <c r="E54">
        <v>10</v>
      </c>
    </row>
    <row r="55" spans="2:5" x14ac:dyDescent="0.2">
      <c r="B55" t="s">
        <v>47</v>
      </c>
      <c r="E55">
        <v>3.16</v>
      </c>
    </row>
    <row r="56" spans="2:5" x14ac:dyDescent="0.2">
      <c r="B56" t="s">
        <v>48</v>
      </c>
      <c r="E56">
        <v>1</v>
      </c>
    </row>
    <row r="57" spans="2:5" x14ac:dyDescent="0.2">
      <c r="B57" t="s">
        <v>49</v>
      </c>
      <c r="E57">
        <v>0.3</v>
      </c>
    </row>
    <row r="58" spans="2:5" x14ac:dyDescent="0.2">
      <c r="B58" t="s">
        <v>50</v>
      </c>
      <c r="E58">
        <v>0.1</v>
      </c>
    </row>
    <row r="59" spans="2:5" x14ac:dyDescent="0.2">
      <c r="B59" t="s">
        <v>51</v>
      </c>
      <c r="E59">
        <v>0.03</v>
      </c>
    </row>
    <row r="60" spans="2:5" x14ac:dyDescent="0.2">
      <c r="B60" t="s">
        <v>52</v>
      </c>
      <c r="E60">
        <v>0.01</v>
      </c>
    </row>
    <row r="61" spans="2:5" x14ac:dyDescent="0.2">
      <c r="B61" t="s">
        <v>53</v>
      </c>
      <c r="E61">
        <v>3.0000000000000001E-3</v>
      </c>
    </row>
    <row r="62" spans="2:5" x14ac:dyDescent="0.2">
      <c r="B62" t="s">
        <v>54</v>
      </c>
      <c r="E62">
        <v>1E-3</v>
      </c>
    </row>
    <row r="63" spans="2:5" x14ac:dyDescent="0.2">
      <c r="B63" t="s">
        <v>55</v>
      </c>
      <c r="E63">
        <v>2.9999999999999997E-4</v>
      </c>
    </row>
    <row r="64" spans="2:5" x14ac:dyDescent="0.2">
      <c r="B64" t="s">
        <v>56</v>
      </c>
      <c r="E64">
        <v>1E-4</v>
      </c>
    </row>
    <row r="65" spans="2:5" x14ac:dyDescent="0.2">
      <c r="B65" t="s">
        <v>57</v>
      </c>
      <c r="E65">
        <v>3.0000000000000001E-5</v>
      </c>
    </row>
    <row r="66" spans="2:5" x14ac:dyDescent="0.2">
      <c r="B66" t="s">
        <v>142</v>
      </c>
      <c r="E66">
        <v>1.0000000000000001E-5</v>
      </c>
    </row>
    <row r="67" spans="2:5" x14ac:dyDescent="0.2">
      <c r="B67" t="s">
        <v>143</v>
      </c>
      <c r="E67">
        <v>1.0000000000000001E-5</v>
      </c>
    </row>
    <row r="68" spans="2:5" x14ac:dyDescent="0.2">
      <c r="B68" t="s">
        <v>144</v>
      </c>
      <c r="E68">
        <v>1.0000000000000001E-5</v>
      </c>
    </row>
    <row r="69" spans="2:5" x14ac:dyDescent="0.2">
      <c r="B69" t="s">
        <v>145</v>
      </c>
      <c r="E69">
        <v>1.0000000000000001E-5</v>
      </c>
    </row>
    <row r="70" spans="2:5" x14ac:dyDescent="0.2">
      <c r="B70" t="s">
        <v>146</v>
      </c>
      <c r="E70">
        <v>1.0000000000000001E-5</v>
      </c>
    </row>
    <row r="71" spans="2:5" x14ac:dyDescent="0.2">
      <c r="B71" t="s">
        <v>147</v>
      </c>
      <c r="E71">
        <v>1.0000000000000001E-5</v>
      </c>
    </row>
    <row r="72" spans="2:5" x14ac:dyDescent="0.2">
      <c r="B72" t="s">
        <v>148</v>
      </c>
      <c r="E72">
        <v>1.0000000000000001E-5</v>
      </c>
    </row>
    <row r="73" spans="2:5" x14ac:dyDescent="0.2">
      <c r="B73" t="s">
        <v>149</v>
      </c>
      <c r="E73">
        <v>1.0000000000000001E-5</v>
      </c>
    </row>
    <row r="74" spans="2:5" x14ac:dyDescent="0.2">
      <c r="B74" t="s">
        <v>150</v>
      </c>
      <c r="E74">
        <v>1.0000000000000001E-5</v>
      </c>
    </row>
    <row r="75" spans="2:5" x14ac:dyDescent="0.2">
      <c r="B75" t="s">
        <v>151</v>
      </c>
      <c r="E75">
        <v>1.0000000000000001E-5</v>
      </c>
    </row>
    <row r="76" spans="2:5" x14ac:dyDescent="0.2">
      <c r="B76" t="s">
        <v>152</v>
      </c>
      <c r="E76">
        <v>1.0000000000000001E-5</v>
      </c>
    </row>
    <row r="77" spans="2:5" x14ac:dyDescent="0.2">
      <c r="B77" t="s">
        <v>153</v>
      </c>
      <c r="E77">
        <v>1.0000000000000001E-5</v>
      </c>
    </row>
    <row r="78" spans="2:5" x14ac:dyDescent="0.2">
      <c r="B78" t="s">
        <v>58</v>
      </c>
      <c r="E78">
        <v>10</v>
      </c>
    </row>
    <row r="79" spans="2:5" x14ac:dyDescent="0.2">
      <c r="B79" t="s">
        <v>59</v>
      </c>
      <c r="E79">
        <v>3.16</v>
      </c>
    </row>
    <row r="80" spans="2:5" x14ac:dyDescent="0.2">
      <c r="B80" t="s">
        <v>60</v>
      </c>
      <c r="E80">
        <v>1</v>
      </c>
    </row>
    <row r="81" spans="2:5" x14ac:dyDescent="0.2">
      <c r="B81" t="s">
        <v>61</v>
      </c>
      <c r="E81">
        <v>0.3</v>
      </c>
    </row>
    <row r="82" spans="2:5" x14ac:dyDescent="0.2">
      <c r="B82" t="s">
        <v>62</v>
      </c>
      <c r="E82">
        <v>0.1</v>
      </c>
    </row>
    <row r="83" spans="2:5" x14ac:dyDescent="0.2">
      <c r="B83" t="s">
        <v>63</v>
      </c>
      <c r="E83">
        <v>0.03</v>
      </c>
    </row>
    <row r="84" spans="2:5" x14ac:dyDescent="0.2">
      <c r="B84" t="s">
        <v>64</v>
      </c>
      <c r="E84">
        <v>0.01</v>
      </c>
    </row>
    <row r="85" spans="2:5" x14ac:dyDescent="0.2">
      <c r="B85" t="s">
        <v>65</v>
      </c>
      <c r="E85">
        <v>3.0000000000000001E-3</v>
      </c>
    </row>
    <row r="86" spans="2:5" x14ac:dyDescent="0.2">
      <c r="B86" t="s">
        <v>66</v>
      </c>
      <c r="E86">
        <v>1E-3</v>
      </c>
    </row>
    <row r="87" spans="2:5" x14ac:dyDescent="0.2">
      <c r="B87" t="s">
        <v>67</v>
      </c>
      <c r="E87">
        <v>2.9999999999999997E-4</v>
      </c>
    </row>
    <row r="88" spans="2:5" x14ac:dyDescent="0.2">
      <c r="B88" t="s">
        <v>68</v>
      </c>
      <c r="E88">
        <v>1E-4</v>
      </c>
    </row>
    <row r="89" spans="2:5" x14ac:dyDescent="0.2">
      <c r="B89" t="s">
        <v>69</v>
      </c>
      <c r="E89">
        <v>3.0000000000000001E-5</v>
      </c>
    </row>
    <row r="90" spans="2:5" x14ac:dyDescent="0.2">
      <c r="B90" t="s">
        <v>154</v>
      </c>
      <c r="E90">
        <v>1.0000000000000001E-5</v>
      </c>
    </row>
    <row r="91" spans="2:5" x14ac:dyDescent="0.2">
      <c r="B91" t="s">
        <v>155</v>
      </c>
      <c r="E91">
        <v>1.0000000000000001E-5</v>
      </c>
    </row>
    <row r="92" spans="2:5" x14ac:dyDescent="0.2">
      <c r="B92" t="s">
        <v>156</v>
      </c>
      <c r="E92">
        <v>1.0000000000000001E-5</v>
      </c>
    </row>
    <row r="93" spans="2:5" x14ac:dyDescent="0.2">
      <c r="B93" t="s">
        <v>157</v>
      </c>
      <c r="E93">
        <v>1.0000000000000001E-5</v>
      </c>
    </row>
    <row r="94" spans="2:5" x14ac:dyDescent="0.2">
      <c r="B94" t="s">
        <v>158</v>
      </c>
      <c r="E94">
        <v>1.0000000000000001E-5</v>
      </c>
    </row>
    <row r="95" spans="2:5" x14ac:dyDescent="0.2">
      <c r="B95" t="s">
        <v>159</v>
      </c>
      <c r="E95">
        <v>1.0000000000000001E-5</v>
      </c>
    </row>
    <row r="96" spans="2:5" x14ac:dyDescent="0.2">
      <c r="B96" t="s">
        <v>160</v>
      </c>
      <c r="E96">
        <v>1.0000000000000001E-5</v>
      </c>
    </row>
    <row r="97" spans="2:5" x14ac:dyDescent="0.2">
      <c r="B97" t="s">
        <v>161</v>
      </c>
      <c r="E97">
        <v>1.0000000000000001E-5</v>
      </c>
    </row>
    <row r="98" spans="2:5" x14ac:dyDescent="0.2">
      <c r="B98" t="s">
        <v>162</v>
      </c>
      <c r="E98">
        <v>1.0000000000000001E-5</v>
      </c>
    </row>
    <row r="99" spans="2:5" x14ac:dyDescent="0.2">
      <c r="B99" t="s">
        <v>163</v>
      </c>
      <c r="E99">
        <v>1.0000000000000001E-5</v>
      </c>
    </row>
    <row r="100" spans="2:5" x14ac:dyDescent="0.2">
      <c r="B100" t="s">
        <v>164</v>
      </c>
      <c r="E100">
        <v>1.0000000000000001E-5</v>
      </c>
    </row>
    <row r="101" spans="2:5" x14ac:dyDescent="0.2">
      <c r="B101" t="s">
        <v>165</v>
      </c>
      <c r="E101">
        <v>1.0000000000000001E-5</v>
      </c>
    </row>
    <row r="102" spans="2:5" x14ac:dyDescent="0.2">
      <c r="B102" t="s">
        <v>70</v>
      </c>
      <c r="E102">
        <v>10</v>
      </c>
    </row>
    <row r="103" spans="2:5" x14ac:dyDescent="0.2">
      <c r="B103" t="s">
        <v>71</v>
      </c>
      <c r="E103">
        <v>3.16</v>
      </c>
    </row>
    <row r="104" spans="2:5" x14ac:dyDescent="0.2">
      <c r="B104" t="s">
        <v>72</v>
      </c>
      <c r="E104">
        <v>1</v>
      </c>
    </row>
    <row r="105" spans="2:5" x14ac:dyDescent="0.2">
      <c r="B105" t="s">
        <v>73</v>
      </c>
      <c r="E105">
        <v>0.3</v>
      </c>
    </row>
    <row r="106" spans="2:5" x14ac:dyDescent="0.2">
      <c r="B106" t="s">
        <v>74</v>
      </c>
      <c r="E106">
        <v>0.1</v>
      </c>
    </row>
    <row r="107" spans="2:5" x14ac:dyDescent="0.2">
      <c r="B107" t="s">
        <v>75</v>
      </c>
      <c r="E107">
        <v>0.03</v>
      </c>
    </row>
    <row r="108" spans="2:5" x14ac:dyDescent="0.2">
      <c r="B108" t="s">
        <v>76</v>
      </c>
      <c r="E108">
        <v>0.01</v>
      </c>
    </row>
    <row r="109" spans="2:5" x14ac:dyDescent="0.2">
      <c r="B109" t="s">
        <v>77</v>
      </c>
      <c r="E109">
        <v>3.0000000000000001E-3</v>
      </c>
    </row>
    <row r="110" spans="2:5" x14ac:dyDescent="0.2">
      <c r="B110" t="s">
        <v>78</v>
      </c>
      <c r="E110">
        <v>1E-3</v>
      </c>
    </row>
    <row r="111" spans="2:5" x14ac:dyDescent="0.2">
      <c r="B111" t="s">
        <v>79</v>
      </c>
      <c r="E111">
        <v>2.9999999999999997E-4</v>
      </c>
    </row>
    <row r="112" spans="2:5" x14ac:dyDescent="0.2">
      <c r="B112" t="s">
        <v>80</v>
      </c>
      <c r="E112">
        <v>1E-4</v>
      </c>
    </row>
    <row r="113" spans="2:5" x14ac:dyDescent="0.2">
      <c r="B113" t="s">
        <v>81</v>
      </c>
      <c r="E113">
        <v>3.0000000000000001E-5</v>
      </c>
    </row>
    <row r="114" spans="2:5" x14ac:dyDescent="0.2">
      <c r="B114" t="s">
        <v>166</v>
      </c>
      <c r="E114">
        <v>1.0000000000000001E-5</v>
      </c>
    </row>
    <row r="115" spans="2:5" x14ac:dyDescent="0.2">
      <c r="B115" t="s">
        <v>167</v>
      </c>
      <c r="E115">
        <v>1.0000000000000001E-5</v>
      </c>
    </row>
    <row r="116" spans="2:5" x14ac:dyDescent="0.2">
      <c r="B116" t="s">
        <v>168</v>
      </c>
      <c r="E116">
        <v>1.0000000000000001E-5</v>
      </c>
    </row>
    <row r="117" spans="2:5" x14ac:dyDescent="0.2">
      <c r="B117" t="s">
        <v>169</v>
      </c>
      <c r="E117">
        <v>1.0000000000000001E-5</v>
      </c>
    </row>
    <row r="118" spans="2:5" x14ac:dyDescent="0.2">
      <c r="B118" t="s">
        <v>170</v>
      </c>
      <c r="E118">
        <v>1.0000000000000001E-5</v>
      </c>
    </row>
    <row r="119" spans="2:5" x14ac:dyDescent="0.2">
      <c r="B119" t="s">
        <v>171</v>
      </c>
      <c r="E119">
        <v>1.0000000000000001E-5</v>
      </c>
    </row>
    <row r="120" spans="2:5" x14ac:dyDescent="0.2">
      <c r="B120" t="s">
        <v>172</v>
      </c>
      <c r="E120">
        <v>1.0000000000000001E-5</v>
      </c>
    </row>
    <row r="121" spans="2:5" x14ac:dyDescent="0.2">
      <c r="B121" t="s">
        <v>173</v>
      </c>
      <c r="E121">
        <v>1.0000000000000001E-5</v>
      </c>
    </row>
    <row r="122" spans="2:5" x14ac:dyDescent="0.2">
      <c r="B122" t="s">
        <v>174</v>
      </c>
      <c r="E122">
        <v>1.0000000000000001E-5</v>
      </c>
    </row>
    <row r="123" spans="2:5" x14ac:dyDescent="0.2">
      <c r="B123" t="s">
        <v>175</v>
      </c>
      <c r="E123">
        <v>1.0000000000000001E-5</v>
      </c>
    </row>
    <row r="124" spans="2:5" x14ac:dyDescent="0.2">
      <c r="B124" t="s">
        <v>176</v>
      </c>
      <c r="E124">
        <v>1.0000000000000001E-5</v>
      </c>
    </row>
    <row r="125" spans="2:5" x14ac:dyDescent="0.2">
      <c r="B125" t="s">
        <v>177</v>
      </c>
      <c r="E125">
        <v>1.0000000000000001E-5</v>
      </c>
    </row>
    <row r="126" spans="2:5" x14ac:dyDescent="0.2">
      <c r="B126" t="s">
        <v>82</v>
      </c>
      <c r="E126">
        <v>10</v>
      </c>
    </row>
    <row r="127" spans="2:5" x14ac:dyDescent="0.2">
      <c r="B127" t="s">
        <v>83</v>
      </c>
      <c r="E127">
        <v>3.16</v>
      </c>
    </row>
    <row r="128" spans="2:5" x14ac:dyDescent="0.2">
      <c r="B128" t="s">
        <v>84</v>
      </c>
      <c r="E128">
        <v>1</v>
      </c>
    </row>
    <row r="129" spans="2:5" x14ac:dyDescent="0.2">
      <c r="B129" t="s">
        <v>85</v>
      </c>
      <c r="E129">
        <v>0.3</v>
      </c>
    </row>
    <row r="130" spans="2:5" x14ac:dyDescent="0.2">
      <c r="B130" t="s">
        <v>86</v>
      </c>
      <c r="E130">
        <v>0.1</v>
      </c>
    </row>
    <row r="131" spans="2:5" x14ac:dyDescent="0.2">
      <c r="B131" t="s">
        <v>87</v>
      </c>
      <c r="E131">
        <v>0.03</v>
      </c>
    </row>
    <row r="132" spans="2:5" x14ac:dyDescent="0.2">
      <c r="B132" t="s">
        <v>88</v>
      </c>
      <c r="E132">
        <v>0.01</v>
      </c>
    </row>
    <row r="133" spans="2:5" x14ac:dyDescent="0.2">
      <c r="B133" t="s">
        <v>89</v>
      </c>
      <c r="E133">
        <v>3.0000000000000001E-3</v>
      </c>
    </row>
    <row r="134" spans="2:5" x14ac:dyDescent="0.2">
      <c r="B134" t="s">
        <v>90</v>
      </c>
      <c r="E134">
        <v>1E-3</v>
      </c>
    </row>
    <row r="135" spans="2:5" x14ac:dyDescent="0.2">
      <c r="B135" t="s">
        <v>91</v>
      </c>
      <c r="E135">
        <v>2.9999999999999997E-4</v>
      </c>
    </row>
    <row r="136" spans="2:5" x14ac:dyDescent="0.2">
      <c r="B136" t="s">
        <v>92</v>
      </c>
      <c r="E136">
        <v>1E-4</v>
      </c>
    </row>
    <row r="137" spans="2:5" x14ac:dyDescent="0.2">
      <c r="B137" t="s">
        <v>93</v>
      </c>
      <c r="E137">
        <v>3.0000000000000001E-5</v>
      </c>
    </row>
    <row r="138" spans="2:5" x14ac:dyDescent="0.2">
      <c r="B138" t="s">
        <v>178</v>
      </c>
      <c r="E138">
        <v>1.0000000000000001E-5</v>
      </c>
    </row>
    <row r="139" spans="2:5" x14ac:dyDescent="0.2">
      <c r="B139" t="s">
        <v>179</v>
      </c>
      <c r="E139">
        <v>1.0000000000000001E-5</v>
      </c>
    </row>
    <row r="140" spans="2:5" x14ac:dyDescent="0.2">
      <c r="B140" t="s">
        <v>180</v>
      </c>
      <c r="E140">
        <v>1.0000000000000001E-5</v>
      </c>
    </row>
    <row r="141" spans="2:5" x14ac:dyDescent="0.2">
      <c r="B141" t="s">
        <v>181</v>
      </c>
      <c r="E141">
        <v>1.0000000000000001E-5</v>
      </c>
    </row>
    <row r="142" spans="2:5" x14ac:dyDescent="0.2">
      <c r="B142" t="s">
        <v>182</v>
      </c>
      <c r="E142">
        <v>1.0000000000000001E-5</v>
      </c>
    </row>
    <row r="143" spans="2:5" x14ac:dyDescent="0.2">
      <c r="B143" t="s">
        <v>183</v>
      </c>
      <c r="E143">
        <v>1.0000000000000001E-5</v>
      </c>
    </row>
    <row r="144" spans="2:5" x14ac:dyDescent="0.2">
      <c r="B144" t="s">
        <v>184</v>
      </c>
      <c r="E144">
        <v>1.0000000000000001E-5</v>
      </c>
    </row>
    <row r="145" spans="2:5" x14ac:dyDescent="0.2">
      <c r="B145" t="s">
        <v>185</v>
      </c>
      <c r="E145">
        <v>1.0000000000000001E-5</v>
      </c>
    </row>
    <row r="146" spans="2:5" x14ac:dyDescent="0.2">
      <c r="B146" t="s">
        <v>186</v>
      </c>
      <c r="E146">
        <v>1.0000000000000001E-5</v>
      </c>
    </row>
    <row r="147" spans="2:5" x14ac:dyDescent="0.2">
      <c r="B147" t="s">
        <v>187</v>
      </c>
      <c r="E147">
        <v>1.0000000000000001E-5</v>
      </c>
    </row>
    <row r="148" spans="2:5" x14ac:dyDescent="0.2">
      <c r="B148" t="s">
        <v>188</v>
      </c>
      <c r="E148">
        <v>1.0000000000000001E-5</v>
      </c>
    </row>
    <row r="149" spans="2:5" x14ac:dyDescent="0.2">
      <c r="B149" t="s">
        <v>189</v>
      </c>
      <c r="E149">
        <v>1.0000000000000001E-5</v>
      </c>
    </row>
    <row r="150" spans="2:5" x14ac:dyDescent="0.2">
      <c r="B150" t="s">
        <v>94</v>
      </c>
      <c r="E150">
        <v>10</v>
      </c>
    </row>
    <row r="151" spans="2:5" x14ac:dyDescent="0.2">
      <c r="B151" t="s">
        <v>95</v>
      </c>
      <c r="E151">
        <v>3.16</v>
      </c>
    </row>
    <row r="152" spans="2:5" x14ac:dyDescent="0.2">
      <c r="B152" t="s">
        <v>96</v>
      </c>
      <c r="E152">
        <v>1</v>
      </c>
    </row>
    <row r="153" spans="2:5" x14ac:dyDescent="0.2">
      <c r="B153" t="s">
        <v>97</v>
      </c>
      <c r="E153">
        <v>0.3</v>
      </c>
    </row>
    <row r="154" spans="2:5" x14ac:dyDescent="0.2">
      <c r="B154" t="s">
        <v>98</v>
      </c>
      <c r="E154">
        <v>0.1</v>
      </c>
    </row>
    <row r="155" spans="2:5" x14ac:dyDescent="0.2">
      <c r="B155" t="s">
        <v>99</v>
      </c>
      <c r="E155">
        <v>0.03</v>
      </c>
    </row>
    <row r="156" spans="2:5" x14ac:dyDescent="0.2">
      <c r="B156" t="s">
        <v>100</v>
      </c>
      <c r="E156">
        <v>0.01</v>
      </c>
    </row>
    <row r="157" spans="2:5" x14ac:dyDescent="0.2">
      <c r="B157" t="s">
        <v>101</v>
      </c>
      <c r="E157">
        <v>3.0000000000000001E-3</v>
      </c>
    </row>
    <row r="158" spans="2:5" x14ac:dyDescent="0.2">
      <c r="B158" t="s">
        <v>102</v>
      </c>
      <c r="E158">
        <v>1E-3</v>
      </c>
    </row>
    <row r="159" spans="2:5" x14ac:dyDescent="0.2">
      <c r="B159" t="s">
        <v>103</v>
      </c>
      <c r="E159">
        <v>2.9999999999999997E-4</v>
      </c>
    </row>
    <row r="160" spans="2:5" x14ac:dyDescent="0.2">
      <c r="B160" t="s">
        <v>104</v>
      </c>
      <c r="E160">
        <v>1E-4</v>
      </c>
    </row>
    <row r="161" spans="2:5" x14ac:dyDescent="0.2">
      <c r="B161" t="s">
        <v>105</v>
      </c>
      <c r="E161">
        <v>3.0000000000000001E-5</v>
      </c>
    </row>
    <row r="162" spans="2:5" x14ac:dyDescent="0.2">
      <c r="B162" t="s">
        <v>190</v>
      </c>
      <c r="E162">
        <v>1.0000000000000001E-5</v>
      </c>
    </row>
    <row r="163" spans="2:5" x14ac:dyDescent="0.2">
      <c r="B163" t="s">
        <v>191</v>
      </c>
      <c r="E163">
        <v>1.0000000000000001E-5</v>
      </c>
    </row>
    <row r="164" spans="2:5" x14ac:dyDescent="0.2">
      <c r="B164" t="s">
        <v>192</v>
      </c>
      <c r="E164">
        <v>1.0000000000000001E-5</v>
      </c>
    </row>
    <row r="165" spans="2:5" x14ac:dyDescent="0.2">
      <c r="B165" t="s">
        <v>193</v>
      </c>
      <c r="E165">
        <v>1.0000000000000001E-5</v>
      </c>
    </row>
    <row r="166" spans="2:5" x14ac:dyDescent="0.2">
      <c r="B166" t="s">
        <v>194</v>
      </c>
      <c r="E166">
        <v>1.0000000000000001E-5</v>
      </c>
    </row>
    <row r="167" spans="2:5" x14ac:dyDescent="0.2">
      <c r="B167" t="s">
        <v>195</v>
      </c>
      <c r="E167">
        <v>1.0000000000000001E-5</v>
      </c>
    </row>
    <row r="168" spans="2:5" x14ac:dyDescent="0.2">
      <c r="B168" t="s">
        <v>196</v>
      </c>
      <c r="E168">
        <v>1.0000000000000001E-5</v>
      </c>
    </row>
    <row r="169" spans="2:5" x14ac:dyDescent="0.2">
      <c r="B169" t="s">
        <v>197</v>
      </c>
      <c r="E169">
        <v>1.0000000000000001E-5</v>
      </c>
    </row>
    <row r="170" spans="2:5" x14ac:dyDescent="0.2">
      <c r="B170" t="s">
        <v>198</v>
      </c>
      <c r="E170">
        <v>1.0000000000000001E-5</v>
      </c>
    </row>
    <row r="171" spans="2:5" x14ac:dyDescent="0.2">
      <c r="B171" t="s">
        <v>199</v>
      </c>
      <c r="E171">
        <v>1.0000000000000001E-5</v>
      </c>
    </row>
    <row r="172" spans="2:5" x14ac:dyDescent="0.2">
      <c r="B172" t="s">
        <v>200</v>
      </c>
      <c r="E172">
        <v>1.0000000000000001E-5</v>
      </c>
    </row>
    <row r="173" spans="2:5" x14ac:dyDescent="0.2">
      <c r="B173" t="s">
        <v>201</v>
      </c>
      <c r="E173">
        <v>1.0000000000000001E-5</v>
      </c>
    </row>
    <row r="174" spans="2:5" x14ac:dyDescent="0.2">
      <c r="B174" t="s">
        <v>106</v>
      </c>
      <c r="E174">
        <v>10</v>
      </c>
    </row>
    <row r="175" spans="2:5" x14ac:dyDescent="0.2">
      <c r="B175" t="s">
        <v>107</v>
      </c>
      <c r="E175">
        <v>3.16</v>
      </c>
    </row>
    <row r="176" spans="2:5" x14ac:dyDescent="0.2">
      <c r="B176" t="s">
        <v>108</v>
      </c>
      <c r="E176">
        <v>1</v>
      </c>
    </row>
    <row r="177" spans="2:5" x14ac:dyDescent="0.2">
      <c r="B177" t="s">
        <v>109</v>
      </c>
      <c r="E177">
        <v>0.3</v>
      </c>
    </row>
    <row r="178" spans="2:5" x14ac:dyDescent="0.2">
      <c r="B178" t="s">
        <v>110</v>
      </c>
      <c r="E178">
        <v>0.1</v>
      </c>
    </row>
    <row r="179" spans="2:5" x14ac:dyDescent="0.2">
      <c r="B179" t="s">
        <v>111</v>
      </c>
      <c r="E179">
        <v>0.03</v>
      </c>
    </row>
    <row r="180" spans="2:5" x14ac:dyDescent="0.2">
      <c r="B180" t="s">
        <v>112</v>
      </c>
      <c r="E180">
        <v>0.01</v>
      </c>
    </row>
    <row r="181" spans="2:5" x14ac:dyDescent="0.2">
      <c r="B181" t="s">
        <v>113</v>
      </c>
      <c r="E181">
        <v>3.0000000000000001E-3</v>
      </c>
    </row>
    <row r="182" spans="2:5" x14ac:dyDescent="0.2">
      <c r="B182" t="s">
        <v>114</v>
      </c>
      <c r="E182">
        <v>1E-3</v>
      </c>
    </row>
    <row r="183" spans="2:5" x14ac:dyDescent="0.2">
      <c r="B183" t="s">
        <v>115</v>
      </c>
      <c r="E183">
        <v>2.9999999999999997E-4</v>
      </c>
    </row>
    <row r="184" spans="2:5" x14ac:dyDescent="0.2">
      <c r="B184" t="s">
        <v>116</v>
      </c>
      <c r="E184">
        <v>1E-4</v>
      </c>
    </row>
    <row r="185" spans="2:5" x14ac:dyDescent="0.2">
      <c r="B185" t="s">
        <v>117</v>
      </c>
      <c r="E185">
        <v>3.0000000000000001E-5</v>
      </c>
    </row>
    <row r="186" spans="2:5" x14ac:dyDescent="0.2">
      <c r="B186" t="s">
        <v>202</v>
      </c>
      <c r="E186">
        <v>1.0000000000000001E-5</v>
      </c>
    </row>
    <row r="187" spans="2:5" x14ac:dyDescent="0.2">
      <c r="B187" t="s">
        <v>203</v>
      </c>
      <c r="E187">
        <v>1.0000000000000001E-5</v>
      </c>
    </row>
    <row r="188" spans="2:5" x14ac:dyDescent="0.2">
      <c r="B188" t="s">
        <v>204</v>
      </c>
      <c r="E188">
        <v>1.0000000000000001E-5</v>
      </c>
    </row>
    <row r="189" spans="2:5" x14ac:dyDescent="0.2">
      <c r="B189" t="s">
        <v>205</v>
      </c>
      <c r="E189">
        <v>1.0000000000000001E-5</v>
      </c>
    </row>
    <row r="190" spans="2:5" x14ac:dyDescent="0.2">
      <c r="B190" t="s">
        <v>206</v>
      </c>
      <c r="E190">
        <v>1.0000000000000001E-5</v>
      </c>
    </row>
    <row r="191" spans="2:5" x14ac:dyDescent="0.2">
      <c r="B191" t="s">
        <v>207</v>
      </c>
      <c r="E191">
        <v>1.0000000000000001E-5</v>
      </c>
    </row>
    <row r="192" spans="2:5" x14ac:dyDescent="0.2">
      <c r="B192" t="s">
        <v>208</v>
      </c>
      <c r="E192">
        <v>1.0000000000000001E-5</v>
      </c>
    </row>
    <row r="193" spans="2:5" x14ac:dyDescent="0.2">
      <c r="B193" t="s">
        <v>209</v>
      </c>
      <c r="E193">
        <v>1.0000000000000001E-5</v>
      </c>
    </row>
    <row r="194" spans="2:5" x14ac:dyDescent="0.2">
      <c r="B194" t="s">
        <v>210</v>
      </c>
      <c r="E194">
        <v>1.0000000000000001E-5</v>
      </c>
    </row>
    <row r="195" spans="2:5" x14ac:dyDescent="0.2">
      <c r="B195" t="s">
        <v>211</v>
      </c>
      <c r="E195">
        <v>1.0000000000000001E-5</v>
      </c>
    </row>
    <row r="196" spans="2:5" x14ac:dyDescent="0.2">
      <c r="B196" t="s">
        <v>212</v>
      </c>
      <c r="E196">
        <v>1.0000000000000001E-5</v>
      </c>
    </row>
    <row r="197" spans="2:5" x14ac:dyDescent="0.2">
      <c r="B197" t="s">
        <v>213</v>
      </c>
      <c r="E197">
        <v>1.0000000000000001E-5</v>
      </c>
    </row>
    <row r="198" spans="2:5" x14ac:dyDescent="0.2">
      <c r="B198" t="s">
        <v>214</v>
      </c>
      <c r="E198">
        <v>10</v>
      </c>
    </row>
    <row r="199" spans="2:5" x14ac:dyDescent="0.2">
      <c r="B199" t="s">
        <v>215</v>
      </c>
      <c r="E199">
        <v>3.16</v>
      </c>
    </row>
    <row r="200" spans="2:5" x14ac:dyDescent="0.2">
      <c r="B200" t="s">
        <v>216</v>
      </c>
      <c r="E200">
        <v>1</v>
      </c>
    </row>
    <row r="201" spans="2:5" x14ac:dyDescent="0.2">
      <c r="B201" t="s">
        <v>217</v>
      </c>
      <c r="E201">
        <v>0.3</v>
      </c>
    </row>
    <row r="202" spans="2:5" x14ac:dyDescent="0.2">
      <c r="B202" t="s">
        <v>218</v>
      </c>
      <c r="E202">
        <v>0.1</v>
      </c>
    </row>
    <row r="203" spans="2:5" x14ac:dyDescent="0.2">
      <c r="B203" t="s">
        <v>219</v>
      </c>
      <c r="E203">
        <v>0.03</v>
      </c>
    </row>
    <row r="204" spans="2:5" x14ac:dyDescent="0.2">
      <c r="B204" t="s">
        <v>220</v>
      </c>
      <c r="E204">
        <v>0.01</v>
      </c>
    </row>
    <row r="205" spans="2:5" x14ac:dyDescent="0.2">
      <c r="B205" t="s">
        <v>221</v>
      </c>
      <c r="E205">
        <v>3.0000000000000001E-3</v>
      </c>
    </row>
    <row r="206" spans="2:5" x14ac:dyDescent="0.2">
      <c r="B206" t="s">
        <v>222</v>
      </c>
      <c r="E206">
        <v>1E-3</v>
      </c>
    </row>
    <row r="207" spans="2:5" x14ac:dyDescent="0.2">
      <c r="B207" t="s">
        <v>223</v>
      </c>
      <c r="E207">
        <v>2.9999999999999997E-4</v>
      </c>
    </row>
    <row r="208" spans="2:5" x14ac:dyDescent="0.2">
      <c r="B208" t="s">
        <v>224</v>
      </c>
      <c r="E208">
        <v>1E-4</v>
      </c>
    </row>
    <row r="209" spans="2:5" x14ac:dyDescent="0.2">
      <c r="B209" t="s">
        <v>225</v>
      </c>
      <c r="E209">
        <v>3.0000000000000001E-5</v>
      </c>
    </row>
    <row r="210" spans="2:5" x14ac:dyDescent="0.2">
      <c r="B210" t="s">
        <v>226</v>
      </c>
      <c r="E210">
        <v>1.0000000000000001E-5</v>
      </c>
    </row>
    <row r="211" spans="2:5" x14ac:dyDescent="0.2">
      <c r="B211" t="s">
        <v>227</v>
      </c>
      <c r="E211">
        <v>1.0000000000000001E-5</v>
      </c>
    </row>
    <row r="212" spans="2:5" x14ac:dyDescent="0.2">
      <c r="B212" t="s">
        <v>228</v>
      </c>
      <c r="E212">
        <v>1.0000000000000001E-5</v>
      </c>
    </row>
    <row r="213" spans="2:5" x14ac:dyDescent="0.2">
      <c r="B213" t="s">
        <v>229</v>
      </c>
      <c r="E213">
        <v>1.0000000000000001E-5</v>
      </c>
    </row>
    <row r="214" spans="2:5" x14ac:dyDescent="0.2">
      <c r="B214" t="s">
        <v>230</v>
      </c>
      <c r="E214">
        <v>1.0000000000000001E-5</v>
      </c>
    </row>
    <row r="215" spans="2:5" x14ac:dyDescent="0.2">
      <c r="B215" t="s">
        <v>231</v>
      </c>
      <c r="E215">
        <v>1.0000000000000001E-5</v>
      </c>
    </row>
    <row r="216" spans="2:5" x14ac:dyDescent="0.2">
      <c r="B216" t="s">
        <v>232</v>
      </c>
      <c r="E216">
        <v>1.0000000000000001E-5</v>
      </c>
    </row>
    <row r="217" spans="2:5" x14ac:dyDescent="0.2">
      <c r="B217" t="s">
        <v>233</v>
      </c>
      <c r="E217">
        <v>1.0000000000000001E-5</v>
      </c>
    </row>
    <row r="218" spans="2:5" x14ac:dyDescent="0.2">
      <c r="B218" t="s">
        <v>234</v>
      </c>
      <c r="E218">
        <v>1.0000000000000001E-5</v>
      </c>
    </row>
    <row r="219" spans="2:5" x14ac:dyDescent="0.2">
      <c r="B219" t="s">
        <v>235</v>
      </c>
      <c r="E219">
        <v>1.0000000000000001E-5</v>
      </c>
    </row>
    <row r="220" spans="2:5" x14ac:dyDescent="0.2">
      <c r="B220" t="s">
        <v>236</v>
      </c>
      <c r="E220">
        <v>1.0000000000000001E-5</v>
      </c>
    </row>
    <row r="221" spans="2:5" x14ac:dyDescent="0.2">
      <c r="B221" t="s">
        <v>237</v>
      </c>
      <c r="E221">
        <v>1.0000000000000001E-5</v>
      </c>
    </row>
    <row r="222" spans="2:5" x14ac:dyDescent="0.2">
      <c r="B222" t="s">
        <v>238</v>
      </c>
      <c r="E222">
        <v>10</v>
      </c>
    </row>
    <row r="223" spans="2:5" x14ac:dyDescent="0.2">
      <c r="B223" t="s">
        <v>239</v>
      </c>
      <c r="E223">
        <v>3.16</v>
      </c>
    </row>
    <row r="224" spans="2:5" x14ac:dyDescent="0.2">
      <c r="B224" t="s">
        <v>240</v>
      </c>
      <c r="E224">
        <v>1</v>
      </c>
    </row>
    <row r="225" spans="2:5" x14ac:dyDescent="0.2">
      <c r="B225" t="s">
        <v>241</v>
      </c>
      <c r="E225">
        <v>0.3</v>
      </c>
    </row>
    <row r="226" spans="2:5" x14ac:dyDescent="0.2">
      <c r="B226" t="s">
        <v>242</v>
      </c>
      <c r="E226">
        <v>0.1</v>
      </c>
    </row>
    <row r="227" spans="2:5" x14ac:dyDescent="0.2">
      <c r="B227" t="s">
        <v>243</v>
      </c>
      <c r="E227">
        <v>0.03</v>
      </c>
    </row>
    <row r="228" spans="2:5" x14ac:dyDescent="0.2">
      <c r="B228" t="s">
        <v>244</v>
      </c>
      <c r="E228">
        <v>0.01</v>
      </c>
    </row>
    <row r="229" spans="2:5" x14ac:dyDescent="0.2">
      <c r="B229" t="s">
        <v>245</v>
      </c>
      <c r="E229">
        <v>3.0000000000000001E-3</v>
      </c>
    </row>
    <row r="230" spans="2:5" x14ac:dyDescent="0.2">
      <c r="B230" t="s">
        <v>246</v>
      </c>
      <c r="E230">
        <v>1E-3</v>
      </c>
    </row>
    <row r="231" spans="2:5" x14ac:dyDescent="0.2">
      <c r="B231" t="s">
        <v>247</v>
      </c>
      <c r="E231">
        <v>2.9999999999999997E-4</v>
      </c>
    </row>
    <row r="232" spans="2:5" x14ac:dyDescent="0.2">
      <c r="B232" t="s">
        <v>248</v>
      </c>
      <c r="E232">
        <v>1E-4</v>
      </c>
    </row>
    <row r="233" spans="2:5" x14ac:dyDescent="0.2">
      <c r="B233" t="s">
        <v>249</v>
      </c>
      <c r="E233">
        <v>3.0000000000000001E-5</v>
      </c>
    </row>
    <row r="234" spans="2:5" x14ac:dyDescent="0.2">
      <c r="B234" t="s">
        <v>250</v>
      </c>
      <c r="E234">
        <v>1.0000000000000001E-5</v>
      </c>
    </row>
    <row r="235" spans="2:5" x14ac:dyDescent="0.2">
      <c r="B235" t="s">
        <v>251</v>
      </c>
      <c r="E235">
        <v>1.0000000000000001E-5</v>
      </c>
    </row>
    <row r="236" spans="2:5" x14ac:dyDescent="0.2">
      <c r="B236" t="s">
        <v>252</v>
      </c>
      <c r="E236">
        <v>1.0000000000000001E-5</v>
      </c>
    </row>
    <row r="237" spans="2:5" x14ac:dyDescent="0.2">
      <c r="B237" t="s">
        <v>253</v>
      </c>
      <c r="E237">
        <v>1.0000000000000001E-5</v>
      </c>
    </row>
    <row r="238" spans="2:5" x14ac:dyDescent="0.2">
      <c r="B238" t="s">
        <v>254</v>
      </c>
      <c r="E238">
        <v>1.0000000000000001E-5</v>
      </c>
    </row>
    <row r="239" spans="2:5" x14ac:dyDescent="0.2">
      <c r="B239" t="s">
        <v>255</v>
      </c>
      <c r="E239">
        <v>1.0000000000000001E-5</v>
      </c>
    </row>
    <row r="240" spans="2:5" x14ac:dyDescent="0.2">
      <c r="B240" t="s">
        <v>256</v>
      </c>
      <c r="E240">
        <v>1.0000000000000001E-5</v>
      </c>
    </row>
    <row r="241" spans="2:5" x14ac:dyDescent="0.2">
      <c r="B241" t="s">
        <v>257</v>
      </c>
      <c r="E241">
        <v>1.0000000000000001E-5</v>
      </c>
    </row>
    <row r="242" spans="2:5" x14ac:dyDescent="0.2">
      <c r="B242" t="s">
        <v>258</v>
      </c>
      <c r="E242">
        <v>1.0000000000000001E-5</v>
      </c>
    </row>
    <row r="243" spans="2:5" x14ac:dyDescent="0.2">
      <c r="B243" t="s">
        <v>259</v>
      </c>
      <c r="E243">
        <v>1.0000000000000001E-5</v>
      </c>
    </row>
    <row r="244" spans="2:5" x14ac:dyDescent="0.2">
      <c r="B244" t="s">
        <v>260</v>
      </c>
      <c r="E244">
        <v>1.0000000000000001E-5</v>
      </c>
    </row>
    <row r="245" spans="2:5" x14ac:dyDescent="0.2">
      <c r="B245" t="s">
        <v>261</v>
      </c>
      <c r="E245">
        <v>1.0000000000000001E-5</v>
      </c>
    </row>
    <row r="246" spans="2:5" x14ac:dyDescent="0.2">
      <c r="B246" t="s">
        <v>262</v>
      </c>
      <c r="E246">
        <v>10</v>
      </c>
    </row>
    <row r="247" spans="2:5" x14ac:dyDescent="0.2">
      <c r="B247" t="s">
        <v>263</v>
      </c>
      <c r="E247">
        <v>3.16</v>
      </c>
    </row>
    <row r="248" spans="2:5" x14ac:dyDescent="0.2">
      <c r="B248" t="s">
        <v>264</v>
      </c>
      <c r="E248">
        <v>1</v>
      </c>
    </row>
    <row r="249" spans="2:5" x14ac:dyDescent="0.2">
      <c r="B249" t="s">
        <v>265</v>
      </c>
      <c r="E249">
        <v>0.3</v>
      </c>
    </row>
    <row r="250" spans="2:5" x14ac:dyDescent="0.2">
      <c r="B250" t="s">
        <v>266</v>
      </c>
      <c r="E250">
        <v>0.1</v>
      </c>
    </row>
    <row r="251" spans="2:5" x14ac:dyDescent="0.2">
      <c r="B251" t="s">
        <v>267</v>
      </c>
      <c r="E251">
        <v>0.03</v>
      </c>
    </row>
    <row r="252" spans="2:5" x14ac:dyDescent="0.2">
      <c r="B252" t="s">
        <v>268</v>
      </c>
      <c r="E252">
        <v>0.01</v>
      </c>
    </row>
    <row r="253" spans="2:5" x14ac:dyDescent="0.2">
      <c r="B253" t="s">
        <v>269</v>
      </c>
      <c r="E253">
        <v>3.0000000000000001E-3</v>
      </c>
    </row>
    <row r="254" spans="2:5" x14ac:dyDescent="0.2">
      <c r="B254" t="s">
        <v>270</v>
      </c>
      <c r="E254">
        <v>1E-3</v>
      </c>
    </row>
    <row r="255" spans="2:5" x14ac:dyDescent="0.2">
      <c r="B255" t="s">
        <v>271</v>
      </c>
      <c r="E255">
        <v>2.9999999999999997E-4</v>
      </c>
    </row>
    <row r="256" spans="2:5" x14ac:dyDescent="0.2">
      <c r="B256" t="s">
        <v>272</v>
      </c>
      <c r="E256">
        <v>1E-4</v>
      </c>
    </row>
    <row r="257" spans="2:5" x14ac:dyDescent="0.2">
      <c r="B257" t="s">
        <v>273</v>
      </c>
      <c r="E257">
        <v>3.0000000000000001E-5</v>
      </c>
    </row>
    <row r="258" spans="2:5" x14ac:dyDescent="0.2">
      <c r="B258" t="s">
        <v>274</v>
      </c>
      <c r="E258">
        <v>1.0000000000000001E-5</v>
      </c>
    </row>
    <row r="259" spans="2:5" x14ac:dyDescent="0.2">
      <c r="B259" t="s">
        <v>275</v>
      </c>
      <c r="E259">
        <v>1.0000000000000001E-5</v>
      </c>
    </row>
    <row r="260" spans="2:5" x14ac:dyDescent="0.2">
      <c r="B260" t="s">
        <v>276</v>
      </c>
      <c r="E260">
        <v>1.0000000000000001E-5</v>
      </c>
    </row>
    <row r="261" spans="2:5" x14ac:dyDescent="0.2">
      <c r="B261" t="s">
        <v>277</v>
      </c>
      <c r="E261">
        <v>1.0000000000000001E-5</v>
      </c>
    </row>
    <row r="262" spans="2:5" x14ac:dyDescent="0.2">
      <c r="B262" t="s">
        <v>278</v>
      </c>
      <c r="E262">
        <v>1.0000000000000001E-5</v>
      </c>
    </row>
    <row r="263" spans="2:5" x14ac:dyDescent="0.2">
      <c r="B263" t="s">
        <v>279</v>
      </c>
      <c r="E263">
        <v>1.0000000000000001E-5</v>
      </c>
    </row>
    <row r="264" spans="2:5" x14ac:dyDescent="0.2">
      <c r="B264" t="s">
        <v>280</v>
      </c>
      <c r="E264">
        <v>1.0000000000000001E-5</v>
      </c>
    </row>
    <row r="265" spans="2:5" x14ac:dyDescent="0.2">
      <c r="B265" t="s">
        <v>281</v>
      </c>
      <c r="E265">
        <v>1.0000000000000001E-5</v>
      </c>
    </row>
    <row r="266" spans="2:5" x14ac:dyDescent="0.2">
      <c r="B266" t="s">
        <v>282</v>
      </c>
      <c r="E266">
        <v>1.0000000000000001E-5</v>
      </c>
    </row>
    <row r="267" spans="2:5" x14ac:dyDescent="0.2">
      <c r="B267" t="s">
        <v>283</v>
      </c>
      <c r="E267">
        <v>1.0000000000000001E-5</v>
      </c>
    </row>
    <row r="268" spans="2:5" x14ac:dyDescent="0.2">
      <c r="B268" t="s">
        <v>284</v>
      </c>
      <c r="E268">
        <v>1.0000000000000001E-5</v>
      </c>
    </row>
    <row r="269" spans="2:5" x14ac:dyDescent="0.2">
      <c r="B269" t="s">
        <v>285</v>
      </c>
      <c r="E269">
        <v>1.0000000000000001E-5</v>
      </c>
    </row>
    <row r="270" spans="2:5" x14ac:dyDescent="0.2">
      <c r="B270" t="s">
        <v>286</v>
      </c>
      <c r="E270">
        <v>10</v>
      </c>
    </row>
    <row r="271" spans="2:5" x14ac:dyDescent="0.2">
      <c r="B271" t="s">
        <v>287</v>
      </c>
      <c r="E271">
        <v>3.16</v>
      </c>
    </row>
    <row r="272" spans="2:5" x14ac:dyDescent="0.2">
      <c r="B272" t="s">
        <v>288</v>
      </c>
      <c r="E272">
        <v>1</v>
      </c>
    </row>
    <row r="273" spans="2:5" x14ac:dyDescent="0.2">
      <c r="B273" t="s">
        <v>289</v>
      </c>
      <c r="E273">
        <v>0.3</v>
      </c>
    </row>
    <row r="274" spans="2:5" x14ac:dyDescent="0.2">
      <c r="B274" t="s">
        <v>290</v>
      </c>
      <c r="E274">
        <v>0.1</v>
      </c>
    </row>
    <row r="275" spans="2:5" x14ac:dyDescent="0.2">
      <c r="B275" t="s">
        <v>291</v>
      </c>
      <c r="E275">
        <v>0.03</v>
      </c>
    </row>
    <row r="276" spans="2:5" x14ac:dyDescent="0.2">
      <c r="B276" t="s">
        <v>292</v>
      </c>
      <c r="E276">
        <v>0.01</v>
      </c>
    </row>
    <row r="277" spans="2:5" x14ac:dyDescent="0.2">
      <c r="B277" t="s">
        <v>293</v>
      </c>
      <c r="E277">
        <v>3.0000000000000001E-3</v>
      </c>
    </row>
    <row r="278" spans="2:5" x14ac:dyDescent="0.2">
      <c r="B278" t="s">
        <v>294</v>
      </c>
      <c r="E278">
        <v>1E-3</v>
      </c>
    </row>
    <row r="279" spans="2:5" x14ac:dyDescent="0.2">
      <c r="B279" t="s">
        <v>295</v>
      </c>
      <c r="E279">
        <v>2.9999999999999997E-4</v>
      </c>
    </row>
    <row r="280" spans="2:5" x14ac:dyDescent="0.2">
      <c r="B280" t="s">
        <v>296</v>
      </c>
      <c r="E280">
        <v>1E-4</v>
      </c>
    </row>
    <row r="281" spans="2:5" x14ac:dyDescent="0.2">
      <c r="B281" t="s">
        <v>297</v>
      </c>
      <c r="E281">
        <v>3.0000000000000001E-5</v>
      </c>
    </row>
    <row r="282" spans="2:5" x14ac:dyDescent="0.2">
      <c r="B282" t="s">
        <v>298</v>
      </c>
      <c r="E282">
        <v>1.0000000000000001E-5</v>
      </c>
    </row>
    <row r="283" spans="2:5" x14ac:dyDescent="0.2">
      <c r="B283" t="s">
        <v>299</v>
      </c>
      <c r="E283">
        <v>1.0000000000000001E-5</v>
      </c>
    </row>
    <row r="284" spans="2:5" x14ac:dyDescent="0.2">
      <c r="B284" t="s">
        <v>300</v>
      </c>
      <c r="E284">
        <v>1.0000000000000001E-5</v>
      </c>
    </row>
    <row r="285" spans="2:5" x14ac:dyDescent="0.2">
      <c r="B285" t="s">
        <v>301</v>
      </c>
      <c r="E285">
        <v>1.0000000000000001E-5</v>
      </c>
    </row>
    <row r="286" spans="2:5" x14ac:dyDescent="0.2">
      <c r="B286" t="s">
        <v>302</v>
      </c>
      <c r="E286">
        <v>1.0000000000000001E-5</v>
      </c>
    </row>
    <row r="287" spans="2:5" x14ac:dyDescent="0.2">
      <c r="B287" t="s">
        <v>303</v>
      </c>
      <c r="E287">
        <v>1.0000000000000001E-5</v>
      </c>
    </row>
    <row r="288" spans="2:5" x14ac:dyDescent="0.2">
      <c r="B288" t="s">
        <v>304</v>
      </c>
      <c r="E288">
        <v>1.0000000000000001E-5</v>
      </c>
    </row>
    <row r="289" spans="2:5" x14ac:dyDescent="0.2">
      <c r="B289" t="s">
        <v>305</v>
      </c>
      <c r="E289">
        <v>1.0000000000000001E-5</v>
      </c>
    </row>
    <row r="290" spans="2:5" x14ac:dyDescent="0.2">
      <c r="B290" t="s">
        <v>306</v>
      </c>
      <c r="E290">
        <v>1.0000000000000001E-5</v>
      </c>
    </row>
    <row r="291" spans="2:5" x14ac:dyDescent="0.2">
      <c r="B291" t="s">
        <v>307</v>
      </c>
      <c r="E291">
        <v>1.0000000000000001E-5</v>
      </c>
    </row>
    <row r="292" spans="2:5" x14ac:dyDescent="0.2">
      <c r="B292" t="s">
        <v>308</v>
      </c>
      <c r="E292">
        <v>1.0000000000000001E-5</v>
      </c>
    </row>
    <row r="293" spans="2:5" x14ac:dyDescent="0.2">
      <c r="B293" t="s">
        <v>309</v>
      </c>
      <c r="E293">
        <v>1.0000000000000001E-5</v>
      </c>
    </row>
    <row r="294" spans="2:5" x14ac:dyDescent="0.2">
      <c r="B294" t="s">
        <v>310</v>
      </c>
      <c r="E294">
        <v>10</v>
      </c>
    </row>
    <row r="295" spans="2:5" x14ac:dyDescent="0.2">
      <c r="B295" t="s">
        <v>311</v>
      </c>
      <c r="E295">
        <v>3.16</v>
      </c>
    </row>
    <row r="296" spans="2:5" x14ac:dyDescent="0.2">
      <c r="B296" t="s">
        <v>312</v>
      </c>
      <c r="E296">
        <v>1</v>
      </c>
    </row>
    <row r="297" spans="2:5" x14ac:dyDescent="0.2">
      <c r="B297" t="s">
        <v>313</v>
      </c>
      <c r="E297">
        <v>0.3</v>
      </c>
    </row>
    <row r="298" spans="2:5" x14ac:dyDescent="0.2">
      <c r="B298" t="s">
        <v>314</v>
      </c>
      <c r="E298">
        <v>0.1</v>
      </c>
    </row>
    <row r="299" spans="2:5" x14ac:dyDescent="0.2">
      <c r="B299" t="s">
        <v>315</v>
      </c>
      <c r="E299">
        <v>0.03</v>
      </c>
    </row>
    <row r="300" spans="2:5" x14ac:dyDescent="0.2">
      <c r="B300" t="s">
        <v>316</v>
      </c>
      <c r="E300">
        <v>0.01</v>
      </c>
    </row>
    <row r="301" spans="2:5" x14ac:dyDescent="0.2">
      <c r="B301" t="s">
        <v>317</v>
      </c>
      <c r="E301">
        <v>3.0000000000000001E-3</v>
      </c>
    </row>
    <row r="302" spans="2:5" x14ac:dyDescent="0.2">
      <c r="B302" t="s">
        <v>318</v>
      </c>
      <c r="E302">
        <v>1E-3</v>
      </c>
    </row>
    <row r="303" spans="2:5" x14ac:dyDescent="0.2">
      <c r="B303" t="s">
        <v>319</v>
      </c>
      <c r="E303">
        <v>2.9999999999999997E-4</v>
      </c>
    </row>
    <row r="304" spans="2:5" x14ac:dyDescent="0.2">
      <c r="B304" t="s">
        <v>320</v>
      </c>
      <c r="E304">
        <v>1E-4</v>
      </c>
    </row>
    <row r="305" spans="2:5" x14ac:dyDescent="0.2">
      <c r="B305" t="s">
        <v>321</v>
      </c>
      <c r="E305">
        <v>3.0000000000000001E-5</v>
      </c>
    </row>
    <row r="306" spans="2:5" x14ac:dyDescent="0.2">
      <c r="B306" t="s">
        <v>322</v>
      </c>
      <c r="E306">
        <v>1.0000000000000001E-5</v>
      </c>
    </row>
    <row r="307" spans="2:5" x14ac:dyDescent="0.2">
      <c r="B307" t="s">
        <v>323</v>
      </c>
      <c r="E307">
        <v>1.0000000000000001E-5</v>
      </c>
    </row>
    <row r="308" spans="2:5" x14ac:dyDescent="0.2">
      <c r="B308" t="s">
        <v>324</v>
      </c>
      <c r="E308">
        <v>1.0000000000000001E-5</v>
      </c>
    </row>
    <row r="309" spans="2:5" x14ac:dyDescent="0.2">
      <c r="B309" t="s">
        <v>325</v>
      </c>
      <c r="E309">
        <v>1.0000000000000001E-5</v>
      </c>
    </row>
    <row r="310" spans="2:5" x14ac:dyDescent="0.2">
      <c r="B310" t="s">
        <v>326</v>
      </c>
      <c r="E310">
        <v>1.0000000000000001E-5</v>
      </c>
    </row>
    <row r="311" spans="2:5" x14ac:dyDescent="0.2">
      <c r="B311" t="s">
        <v>327</v>
      </c>
      <c r="E311">
        <v>1.0000000000000001E-5</v>
      </c>
    </row>
    <row r="312" spans="2:5" x14ac:dyDescent="0.2">
      <c r="B312" t="s">
        <v>328</v>
      </c>
      <c r="E312">
        <v>1.0000000000000001E-5</v>
      </c>
    </row>
    <row r="313" spans="2:5" x14ac:dyDescent="0.2">
      <c r="B313" t="s">
        <v>329</v>
      </c>
      <c r="E313">
        <v>1.0000000000000001E-5</v>
      </c>
    </row>
    <row r="314" spans="2:5" x14ac:dyDescent="0.2">
      <c r="B314" t="s">
        <v>330</v>
      </c>
      <c r="E314">
        <v>1.0000000000000001E-5</v>
      </c>
    </row>
    <row r="315" spans="2:5" x14ac:dyDescent="0.2">
      <c r="B315" t="s">
        <v>331</v>
      </c>
      <c r="E315">
        <v>1.0000000000000001E-5</v>
      </c>
    </row>
    <row r="316" spans="2:5" x14ac:dyDescent="0.2">
      <c r="B316" t="s">
        <v>332</v>
      </c>
      <c r="E316">
        <v>1.0000000000000001E-5</v>
      </c>
    </row>
    <row r="317" spans="2:5" x14ac:dyDescent="0.2">
      <c r="B317" t="s">
        <v>333</v>
      </c>
      <c r="E317">
        <v>1.0000000000000001E-5</v>
      </c>
    </row>
    <row r="318" spans="2:5" x14ac:dyDescent="0.2">
      <c r="B318" t="s">
        <v>334</v>
      </c>
      <c r="E318">
        <v>10</v>
      </c>
    </row>
    <row r="319" spans="2:5" x14ac:dyDescent="0.2">
      <c r="B319" t="s">
        <v>335</v>
      </c>
      <c r="E319">
        <v>3.16</v>
      </c>
    </row>
    <row r="320" spans="2:5" x14ac:dyDescent="0.2">
      <c r="B320" t="s">
        <v>336</v>
      </c>
      <c r="E320">
        <v>1</v>
      </c>
    </row>
    <row r="321" spans="2:5" x14ac:dyDescent="0.2">
      <c r="B321" t="s">
        <v>337</v>
      </c>
      <c r="E321">
        <v>0.3</v>
      </c>
    </row>
    <row r="322" spans="2:5" x14ac:dyDescent="0.2">
      <c r="B322" t="s">
        <v>338</v>
      </c>
      <c r="E322">
        <v>0.1</v>
      </c>
    </row>
    <row r="323" spans="2:5" x14ac:dyDescent="0.2">
      <c r="B323" t="s">
        <v>339</v>
      </c>
      <c r="E323">
        <v>0.03</v>
      </c>
    </row>
    <row r="324" spans="2:5" x14ac:dyDescent="0.2">
      <c r="B324" t="s">
        <v>340</v>
      </c>
      <c r="E324">
        <v>0.01</v>
      </c>
    </row>
    <row r="325" spans="2:5" x14ac:dyDescent="0.2">
      <c r="B325" t="s">
        <v>341</v>
      </c>
      <c r="E325">
        <v>3.0000000000000001E-3</v>
      </c>
    </row>
    <row r="326" spans="2:5" x14ac:dyDescent="0.2">
      <c r="B326" t="s">
        <v>342</v>
      </c>
      <c r="E326">
        <v>1E-3</v>
      </c>
    </row>
    <row r="327" spans="2:5" x14ac:dyDescent="0.2">
      <c r="B327" t="s">
        <v>343</v>
      </c>
      <c r="E327">
        <v>2.9999999999999997E-4</v>
      </c>
    </row>
    <row r="328" spans="2:5" x14ac:dyDescent="0.2">
      <c r="B328" t="s">
        <v>344</v>
      </c>
      <c r="E328">
        <v>1E-4</v>
      </c>
    </row>
    <row r="329" spans="2:5" x14ac:dyDescent="0.2">
      <c r="B329" t="s">
        <v>345</v>
      </c>
      <c r="E329">
        <v>3.0000000000000001E-5</v>
      </c>
    </row>
    <row r="330" spans="2:5" x14ac:dyDescent="0.2">
      <c r="B330" t="s">
        <v>346</v>
      </c>
      <c r="E330">
        <v>1.0000000000000001E-5</v>
      </c>
    </row>
    <row r="331" spans="2:5" x14ac:dyDescent="0.2">
      <c r="B331" t="s">
        <v>347</v>
      </c>
      <c r="E331">
        <v>1.0000000000000001E-5</v>
      </c>
    </row>
    <row r="332" spans="2:5" x14ac:dyDescent="0.2">
      <c r="B332" t="s">
        <v>348</v>
      </c>
      <c r="E332">
        <v>1.0000000000000001E-5</v>
      </c>
    </row>
    <row r="333" spans="2:5" x14ac:dyDescent="0.2">
      <c r="B333" t="s">
        <v>349</v>
      </c>
      <c r="E333">
        <v>1.0000000000000001E-5</v>
      </c>
    </row>
    <row r="334" spans="2:5" x14ac:dyDescent="0.2">
      <c r="B334" t="s">
        <v>350</v>
      </c>
      <c r="E334">
        <v>1.0000000000000001E-5</v>
      </c>
    </row>
    <row r="335" spans="2:5" x14ac:dyDescent="0.2">
      <c r="B335" t="s">
        <v>351</v>
      </c>
      <c r="E335">
        <v>1.0000000000000001E-5</v>
      </c>
    </row>
    <row r="336" spans="2:5" x14ac:dyDescent="0.2">
      <c r="B336" t="s">
        <v>352</v>
      </c>
      <c r="E336">
        <v>1.0000000000000001E-5</v>
      </c>
    </row>
    <row r="337" spans="2:5" x14ac:dyDescent="0.2">
      <c r="B337" t="s">
        <v>353</v>
      </c>
      <c r="E337">
        <v>1.0000000000000001E-5</v>
      </c>
    </row>
    <row r="338" spans="2:5" x14ac:dyDescent="0.2">
      <c r="B338" t="s">
        <v>354</v>
      </c>
      <c r="E338">
        <v>1.0000000000000001E-5</v>
      </c>
    </row>
    <row r="339" spans="2:5" x14ac:dyDescent="0.2">
      <c r="B339" t="s">
        <v>355</v>
      </c>
      <c r="E339">
        <v>1.0000000000000001E-5</v>
      </c>
    </row>
    <row r="340" spans="2:5" x14ac:dyDescent="0.2">
      <c r="B340" t="s">
        <v>356</v>
      </c>
      <c r="E340">
        <v>1.0000000000000001E-5</v>
      </c>
    </row>
    <row r="341" spans="2:5" x14ac:dyDescent="0.2">
      <c r="B341" t="s">
        <v>357</v>
      </c>
      <c r="E341">
        <v>1.0000000000000001E-5</v>
      </c>
    </row>
    <row r="342" spans="2:5" x14ac:dyDescent="0.2">
      <c r="B342" t="s">
        <v>358</v>
      </c>
      <c r="E342">
        <v>10</v>
      </c>
    </row>
    <row r="343" spans="2:5" x14ac:dyDescent="0.2">
      <c r="B343" t="s">
        <v>359</v>
      </c>
      <c r="E343">
        <v>3.16</v>
      </c>
    </row>
    <row r="344" spans="2:5" x14ac:dyDescent="0.2">
      <c r="B344" t="s">
        <v>360</v>
      </c>
      <c r="E344">
        <v>1</v>
      </c>
    </row>
    <row r="345" spans="2:5" x14ac:dyDescent="0.2">
      <c r="B345" t="s">
        <v>361</v>
      </c>
      <c r="E345">
        <v>0.3</v>
      </c>
    </row>
    <row r="346" spans="2:5" x14ac:dyDescent="0.2">
      <c r="B346" t="s">
        <v>362</v>
      </c>
      <c r="E346">
        <v>0.1</v>
      </c>
    </row>
    <row r="347" spans="2:5" x14ac:dyDescent="0.2">
      <c r="B347" t="s">
        <v>363</v>
      </c>
      <c r="E347">
        <v>0.03</v>
      </c>
    </row>
    <row r="348" spans="2:5" x14ac:dyDescent="0.2">
      <c r="B348" t="s">
        <v>364</v>
      </c>
      <c r="E348">
        <v>0.01</v>
      </c>
    </row>
    <row r="349" spans="2:5" x14ac:dyDescent="0.2">
      <c r="B349" t="s">
        <v>365</v>
      </c>
      <c r="E349">
        <v>3.0000000000000001E-3</v>
      </c>
    </row>
    <row r="350" spans="2:5" x14ac:dyDescent="0.2">
      <c r="B350" t="s">
        <v>366</v>
      </c>
      <c r="E350">
        <v>1E-3</v>
      </c>
    </row>
    <row r="351" spans="2:5" x14ac:dyDescent="0.2">
      <c r="B351" t="s">
        <v>367</v>
      </c>
      <c r="E351">
        <v>2.9999999999999997E-4</v>
      </c>
    </row>
    <row r="352" spans="2:5" x14ac:dyDescent="0.2">
      <c r="B352" t="s">
        <v>368</v>
      </c>
      <c r="E352">
        <v>1E-4</v>
      </c>
    </row>
    <row r="353" spans="2:5" x14ac:dyDescent="0.2">
      <c r="B353" t="s">
        <v>369</v>
      </c>
      <c r="E353">
        <v>3.0000000000000001E-5</v>
      </c>
    </row>
    <row r="354" spans="2:5" x14ac:dyDescent="0.2">
      <c r="B354" t="s">
        <v>370</v>
      </c>
      <c r="E354">
        <v>1.0000000000000001E-5</v>
      </c>
    </row>
    <row r="355" spans="2:5" x14ac:dyDescent="0.2">
      <c r="B355" t="s">
        <v>371</v>
      </c>
      <c r="E355">
        <v>1.0000000000000001E-5</v>
      </c>
    </row>
    <row r="356" spans="2:5" x14ac:dyDescent="0.2">
      <c r="B356" t="s">
        <v>372</v>
      </c>
      <c r="E356">
        <v>1.0000000000000001E-5</v>
      </c>
    </row>
    <row r="357" spans="2:5" x14ac:dyDescent="0.2">
      <c r="B357" t="s">
        <v>373</v>
      </c>
      <c r="E357">
        <v>1.0000000000000001E-5</v>
      </c>
    </row>
    <row r="358" spans="2:5" x14ac:dyDescent="0.2">
      <c r="B358" t="s">
        <v>374</v>
      </c>
      <c r="E358">
        <v>1.0000000000000001E-5</v>
      </c>
    </row>
    <row r="359" spans="2:5" x14ac:dyDescent="0.2">
      <c r="B359" t="s">
        <v>375</v>
      </c>
      <c r="E359">
        <v>1.0000000000000001E-5</v>
      </c>
    </row>
    <row r="360" spans="2:5" x14ac:dyDescent="0.2">
      <c r="B360" t="s">
        <v>376</v>
      </c>
      <c r="E360">
        <v>1.0000000000000001E-5</v>
      </c>
    </row>
    <row r="361" spans="2:5" x14ac:dyDescent="0.2">
      <c r="B361" t="s">
        <v>377</v>
      </c>
      <c r="E361">
        <v>1.0000000000000001E-5</v>
      </c>
    </row>
    <row r="362" spans="2:5" x14ac:dyDescent="0.2">
      <c r="B362" t="s">
        <v>378</v>
      </c>
      <c r="E362">
        <v>1.0000000000000001E-5</v>
      </c>
    </row>
    <row r="363" spans="2:5" x14ac:dyDescent="0.2">
      <c r="B363" t="s">
        <v>379</v>
      </c>
      <c r="E363">
        <v>1.0000000000000001E-5</v>
      </c>
    </row>
    <row r="364" spans="2:5" x14ac:dyDescent="0.2">
      <c r="B364" t="s">
        <v>380</v>
      </c>
      <c r="E364">
        <v>1.0000000000000001E-5</v>
      </c>
    </row>
    <row r="365" spans="2:5" x14ac:dyDescent="0.2">
      <c r="B365" t="s">
        <v>381</v>
      </c>
      <c r="E365">
        <v>1.0000000000000001E-5</v>
      </c>
    </row>
    <row r="366" spans="2:5" x14ac:dyDescent="0.2">
      <c r="B366" t="s">
        <v>382</v>
      </c>
      <c r="E366">
        <v>10</v>
      </c>
    </row>
    <row r="367" spans="2:5" x14ac:dyDescent="0.2">
      <c r="B367" t="s">
        <v>383</v>
      </c>
      <c r="E367">
        <v>3.16</v>
      </c>
    </row>
    <row r="368" spans="2:5" x14ac:dyDescent="0.2">
      <c r="B368" t="s">
        <v>384</v>
      </c>
      <c r="E368">
        <v>1</v>
      </c>
    </row>
    <row r="369" spans="2:5" x14ac:dyDescent="0.2">
      <c r="B369" t="s">
        <v>385</v>
      </c>
      <c r="E369">
        <v>0.3</v>
      </c>
    </row>
    <row r="370" spans="2:5" x14ac:dyDescent="0.2">
      <c r="B370" t="s">
        <v>386</v>
      </c>
      <c r="E370">
        <v>0.1</v>
      </c>
    </row>
    <row r="371" spans="2:5" x14ac:dyDescent="0.2">
      <c r="B371" t="s">
        <v>387</v>
      </c>
      <c r="E371">
        <v>0.03</v>
      </c>
    </row>
    <row r="372" spans="2:5" x14ac:dyDescent="0.2">
      <c r="B372" t="s">
        <v>388</v>
      </c>
      <c r="E372">
        <v>0.01</v>
      </c>
    </row>
    <row r="373" spans="2:5" x14ac:dyDescent="0.2">
      <c r="B373" t="s">
        <v>389</v>
      </c>
      <c r="E373">
        <v>3.0000000000000001E-3</v>
      </c>
    </row>
    <row r="374" spans="2:5" x14ac:dyDescent="0.2">
      <c r="B374" t="s">
        <v>390</v>
      </c>
      <c r="E374">
        <v>1E-3</v>
      </c>
    </row>
    <row r="375" spans="2:5" x14ac:dyDescent="0.2">
      <c r="B375" t="s">
        <v>391</v>
      </c>
      <c r="E375">
        <v>2.9999999999999997E-4</v>
      </c>
    </row>
    <row r="376" spans="2:5" x14ac:dyDescent="0.2">
      <c r="B376" t="s">
        <v>392</v>
      </c>
      <c r="E376">
        <v>1E-4</v>
      </c>
    </row>
    <row r="377" spans="2:5" x14ac:dyDescent="0.2">
      <c r="B377" t="s">
        <v>393</v>
      </c>
      <c r="E377">
        <v>3.0000000000000001E-5</v>
      </c>
    </row>
    <row r="378" spans="2:5" x14ac:dyDescent="0.2">
      <c r="B378" t="s">
        <v>394</v>
      </c>
      <c r="E378">
        <v>1.0000000000000001E-5</v>
      </c>
    </row>
    <row r="379" spans="2:5" x14ac:dyDescent="0.2">
      <c r="B379" t="s">
        <v>395</v>
      </c>
      <c r="E379">
        <v>1.0000000000000001E-5</v>
      </c>
    </row>
    <row r="380" spans="2:5" x14ac:dyDescent="0.2">
      <c r="B380" t="s">
        <v>396</v>
      </c>
      <c r="E380">
        <v>1.0000000000000001E-5</v>
      </c>
    </row>
    <row r="381" spans="2:5" x14ac:dyDescent="0.2">
      <c r="B381" t="s">
        <v>397</v>
      </c>
      <c r="E381">
        <v>1.0000000000000001E-5</v>
      </c>
    </row>
    <row r="382" spans="2:5" x14ac:dyDescent="0.2">
      <c r="B382" t="s">
        <v>398</v>
      </c>
      <c r="E382">
        <v>1.0000000000000001E-5</v>
      </c>
    </row>
    <row r="383" spans="2:5" x14ac:dyDescent="0.2">
      <c r="B383" t="s">
        <v>399</v>
      </c>
      <c r="E383">
        <v>1.0000000000000001E-5</v>
      </c>
    </row>
    <row r="384" spans="2:5" x14ac:dyDescent="0.2">
      <c r="B384" t="s">
        <v>400</v>
      </c>
      <c r="E384">
        <v>1.0000000000000001E-5</v>
      </c>
    </row>
    <row r="385" spans="2:5" x14ac:dyDescent="0.2">
      <c r="B385" t="s">
        <v>401</v>
      </c>
      <c r="E385">
        <v>1.0000000000000001E-5</v>
      </c>
    </row>
    <row r="386" spans="2:5" x14ac:dyDescent="0.2">
      <c r="B386" t="s">
        <v>402</v>
      </c>
      <c r="E386">
        <v>1.0000000000000001E-5</v>
      </c>
    </row>
    <row r="387" spans="2:5" x14ac:dyDescent="0.2">
      <c r="B387" t="s">
        <v>403</v>
      </c>
      <c r="E387">
        <v>1.0000000000000001E-5</v>
      </c>
    </row>
    <row r="388" spans="2:5" x14ac:dyDescent="0.2">
      <c r="B388" t="s">
        <v>404</v>
      </c>
      <c r="E388">
        <v>1.0000000000000001E-5</v>
      </c>
    </row>
    <row r="389" spans="2:5" x14ac:dyDescent="0.2">
      <c r="B389" t="s">
        <v>405</v>
      </c>
      <c r="E389">
        <v>1.0000000000000001E-5</v>
      </c>
    </row>
  </sheetData>
  <mergeCells count="1">
    <mergeCell ref="B4:G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99F1F-3585-DD4D-8684-79A8821AB1DA}">
  <sheetPr codeName="Sheet3">
    <tabColor theme="8" tint="0.39997558519241921"/>
  </sheetPr>
  <dimension ref="A1:J9"/>
  <sheetViews>
    <sheetView showGridLines="0" workbookViewId="0">
      <selection activeCell="F18" sqref="F18"/>
    </sheetView>
  </sheetViews>
  <sheetFormatPr baseColWidth="10" defaultRowHeight="16" x14ac:dyDescent="0.2"/>
  <cols>
    <col min="1" max="1" width="4.83203125" style="1" customWidth="1"/>
    <col min="3" max="3" width="14.5" bestFit="1" customWidth="1"/>
    <col min="8" max="8" width="13.1640625" bestFit="1" customWidth="1"/>
    <col min="9" max="9" width="14.6640625" bestFit="1" customWidth="1"/>
  </cols>
  <sheetData>
    <row r="1" spans="3:10" s="1" customFormat="1" x14ac:dyDescent="0.2"/>
    <row r="3" spans="3:10" x14ac:dyDescent="0.2">
      <c r="C3" t="s">
        <v>18</v>
      </c>
      <c r="D3" t="s">
        <v>411</v>
      </c>
      <c r="E3" t="s">
        <v>412</v>
      </c>
    </row>
    <row r="4" spans="3:10" x14ac:dyDescent="0.2">
      <c r="C4" s="21"/>
      <c r="D4" s="22"/>
      <c r="E4" s="23"/>
    </row>
    <row r="6" spans="3:10" ht="17" thickBot="1" x14ac:dyDescent="0.25">
      <c r="G6" s="2" t="s">
        <v>410</v>
      </c>
      <c r="H6" t="s">
        <v>413</v>
      </c>
      <c r="I6" t="s">
        <v>414</v>
      </c>
      <c r="J6" t="s">
        <v>415</v>
      </c>
    </row>
    <row r="7" spans="3:10" x14ac:dyDescent="0.2">
      <c r="C7" s="3" t="s">
        <v>407</v>
      </c>
      <c r="D7" s="15">
        <v>10000</v>
      </c>
      <c r="E7" s="15">
        <v>10000</v>
      </c>
      <c r="F7" s="16">
        <f>AVERAGE(D7:E7)</f>
        <v>10000</v>
      </c>
      <c r="G7" s="2">
        <v>10</v>
      </c>
      <c r="H7" s="24">
        <f>G7*F7</f>
        <v>100000</v>
      </c>
      <c r="I7" s="17">
        <v>100000</v>
      </c>
      <c r="J7">
        <f>(H7/I7)-G7</f>
        <v>-9</v>
      </c>
    </row>
    <row r="8" spans="3:10" x14ac:dyDescent="0.2">
      <c r="C8" s="10" t="s">
        <v>408</v>
      </c>
      <c r="D8" s="17">
        <f>D9-D7</f>
        <v>1000</v>
      </c>
      <c r="E8" s="17">
        <f t="shared" ref="E8" si="0">E9-E7</f>
        <v>1000</v>
      </c>
      <c r="F8" s="18">
        <f t="shared" ref="F8:F9" si="1">AVERAGE(D8:E8)</f>
        <v>1000</v>
      </c>
    </row>
    <row r="9" spans="3:10" ht="17" thickBot="1" x14ac:dyDescent="0.25">
      <c r="C9" s="6" t="s">
        <v>409</v>
      </c>
      <c r="D9" s="19">
        <v>11000</v>
      </c>
      <c r="E9" s="19">
        <v>11000</v>
      </c>
      <c r="F9" s="20">
        <f t="shared" si="1"/>
        <v>11000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CA411-AB36-8A42-BBD5-F2BFD4A6D583}">
  <sheetPr codeName="Sheet4">
    <tabColor theme="9" tint="0.59999389629810485"/>
  </sheetPr>
  <dimension ref="A1"/>
  <sheetViews>
    <sheetView showGridLines="0" zoomScale="86" workbookViewId="0">
      <selection activeCell="I9" sqref="I9"/>
    </sheetView>
  </sheetViews>
  <sheetFormatPr baseColWidth="10" defaultRowHeight="16" x14ac:dyDescent="0.2"/>
  <cols>
    <col min="1" max="1" width="4.83203125" style="1" customWidth="1"/>
  </cols>
  <sheetData>
    <row r="1" s="1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plate_size_selector</vt:lpstr>
      <vt:lpstr>Experiment_Plan</vt:lpstr>
      <vt:lpstr>dose_color_coding_tool</vt:lpstr>
      <vt:lpstr>Dosing_Plans</vt:lpstr>
      <vt:lpstr>Subculture</vt:lpstr>
      <vt:lpstr>General_Data_Analysis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Olsen</dc:creator>
  <cp:lastModifiedBy>Chris Olsen</cp:lastModifiedBy>
  <dcterms:created xsi:type="dcterms:W3CDTF">2024-11-09T16:20:50Z</dcterms:created>
  <dcterms:modified xsi:type="dcterms:W3CDTF">2024-11-10T04:45:22Z</dcterms:modified>
</cp:coreProperties>
</file>